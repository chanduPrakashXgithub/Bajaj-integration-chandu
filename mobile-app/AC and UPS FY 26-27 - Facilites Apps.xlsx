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BFL Office\12-01-2021 _ Admin Assistant _MIS\AMC\AMC For 2026 -27\"/>
    </mc:Choice>
  </mc:AlternateContent>
  <xr:revisionPtr revIDLastSave="0" documentId="13_ncr:1_{39B5B6EA-A2F7-411C-B9E1-0426D98C2F0A}" xr6:coauthVersionLast="47" xr6:coauthVersionMax="47" xr10:uidLastSave="{00000000-0000-0000-0000-000000000000}"/>
  <bookViews>
    <workbookView xWindow="-120" yWindow="-120" windowWidth="20730" windowHeight="11160" xr2:uid="{E6C40D69-59B5-455E-8B14-AA8C95215539}"/>
  </bookViews>
  <sheets>
    <sheet name="UPS AMC Details" sheetId="1" r:id="rId1"/>
  </sheets>
  <definedNames>
    <definedName name="_xlnm._FilterDatabase" localSheetId="0" hidden="1">'UPS AMC Details'!$B$2:$AL$2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6" i="1" l="1"/>
  <c r="P196" i="1"/>
  <c r="R195" i="1"/>
  <c r="P195" i="1"/>
  <c r="R194" i="1"/>
  <c r="P194" i="1"/>
  <c r="R193" i="1"/>
  <c r="P193" i="1"/>
  <c r="R192" i="1"/>
  <c r="P192" i="1"/>
  <c r="R191" i="1"/>
  <c r="P191" i="1"/>
  <c r="R190" i="1"/>
  <c r="P190" i="1"/>
  <c r="R189" i="1"/>
  <c r="P189" i="1"/>
  <c r="R188" i="1"/>
  <c r="P188" i="1"/>
  <c r="R187" i="1"/>
  <c r="P187" i="1"/>
  <c r="R186" i="1"/>
  <c r="P186" i="1"/>
  <c r="R185" i="1"/>
  <c r="P185" i="1"/>
  <c r="R184" i="1"/>
  <c r="P184" i="1"/>
  <c r="R183" i="1"/>
  <c r="P183" i="1"/>
  <c r="R182" i="1"/>
  <c r="P182" i="1"/>
  <c r="R181" i="1"/>
  <c r="P181" i="1"/>
  <c r="R180" i="1"/>
  <c r="P180" i="1"/>
  <c r="R179" i="1"/>
  <c r="P179" i="1"/>
  <c r="R178" i="1"/>
  <c r="P178" i="1"/>
  <c r="R177" i="1"/>
  <c r="P177" i="1"/>
  <c r="R176" i="1"/>
  <c r="P176" i="1"/>
  <c r="R175" i="1"/>
  <c r="P175" i="1"/>
  <c r="R174" i="1"/>
  <c r="P174" i="1"/>
  <c r="R173" i="1"/>
  <c r="P173" i="1"/>
  <c r="R172" i="1"/>
  <c r="P172" i="1"/>
  <c r="R171" i="1"/>
  <c r="P171" i="1"/>
  <c r="R170" i="1"/>
  <c r="P170" i="1"/>
  <c r="R169" i="1"/>
  <c r="P169" i="1"/>
  <c r="R168" i="1"/>
  <c r="P168" i="1"/>
  <c r="R167" i="1"/>
  <c r="P167" i="1"/>
  <c r="R166" i="1"/>
  <c r="P166" i="1"/>
  <c r="R165" i="1"/>
  <c r="P165" i="1"/>
  <c r="R164" i="1"/>
  <c r="P164" i="1"/>
  <c r="R163" i="1"/>
  <c r="P163" i="1"/>
  <c r="R162" i="1"/>
  <c r="P162" i="1"/>
  <c r="R161" i="1"/>
  <c r="P161" i="1"/>
  <c r="R160" i="1"/>
  <c r="P160" i="1"/>
  <c r="R159" i="1"/>
  <c r="P159" i="1"/>
  <c r="R158" i="1"/>
  <c r="P158" i="1"/>
  <c r="R157" i="1"/>
  <c r="P157" i="1"/>
  <c r="R156" i="1"/>
  <c r="P156" i="1"/>
  <c r="R155" i="1"/>
  <c r="P155" i="1"/>
  <c r="R154" i="1"/>
  <c r="P154" i="1"/>
  <c r="R153" i="1"/>
  <c r="P153" i="1"/>
  <c r="R152" i="1"/>
  <c r="P152" i="1"/>
  <c r="R151" i="1"/>
  <c r="P151" i="1"/>
  <c r="R150" i="1"/>
  <c r="P150" i="1"/>
  <c r="R149" i="1"/>
  <c r="P149" i="1"/>
  <c r="R148" i="1"/>
  <c r="P148" i="1"/>
  <c r="R147" i="1"/>
  <c r="P147" i="1"/>
  <c r="R146" i="1"/>
  <c r="P146" i="1"/>
  <c r="R145" i="1"/>
  <c r="P145" i="1"/>
  <c r="R144" i="1"/>
  <c r="P144" i="1"/>
  <c r="R143" i="1"/>
  <c r="P143" i="1"/>
  <c r="R142" i="1"/>
  <c r="P142" i="1"/>
  <c r="R141" i="1"/>
  <c r="P141" i="1"/>
  <c r="R140" i="1"/>
  <c r="P140" i="1"/>
  <c r="R139" i="1"/>
  <c r="P139" i="1"/>
  <c r="R138" i="1"/>
  <c r="P138" i="1"/>
  <c r="R137" i="1"/>
  <c r="P137" i="1"/>
  <c r="R136" i="1"/>
  <c r="P136" i="1"/>
  <c r="R135" i="1"/>
  <c r="P135" i="1"/>
  <c r="R134" i="1"/>
  <c r="P134" i="1"/>
  <c r="R133" i="1"/>
  <c r="P133" i="1"/>
  <c r="R132" i="1"/>
  <c r="P132" i="1"/>
  <c r="R131" i="1"/>
  <c r="P131" i="1"/>
  <c r="R130" i="1"/>
  <c r="P130" i="1"/>
  <c r="R129" i="1"/>
  <c r="P129" i="1"/>
  <c r="R128" i="1"/>
  <c r="P128" i="1"/>
  <c r="R127" i="1"/>
  <c r="P127" i="1"/>
  <c r="R126" i="1"/>
  <c r="P126" i="1"/>
  <c r="R125" i="1"/>
  <c r="P125" i="1"/>
  <c r="R124" i="1"/>
  <c r="P124" i="1"/>
  <c r="R123" i="1"/>
  <c r="P123" i="1"/>
  <c r="R122" i="1"/>
  <c r="P122" i="1"/>
  <c r="R121" i="1"/>
  <c r="P121" i="1"/>
  <c r="R120" i="1"/>
  <c r="P120" i="1"/>
  <c r="R119" i="1"/>
  <c r="P119" i="1"/>
  <c r="R118" i="1"/>
  <c r="P118" i="1"/>
  <c r="R117" i="1"/>
  <c r="P117" i="1"/>
  <c r="R116" i="1"/>
  <c r="P116" i="1"/>
  <c r="R115" i="1"/>
  <c r="P115" i="1"/>
  <c r="R114" i="1"/>
  <c r="P114" i="1"/>
  <c r="R113" i="1"/>
  <c r="P113" i="1"/>
  <c r="R112" i="1"/>
  <c r="P112" i="1"/>
  <c r="R111" i="1"/>
  <c r="P111" i="1"/>
  <c r="R110" i="1"/>
  <c r="P110" i="1"/>
  <c r="R109" i="1"/>
  <c r="P109" i="1"/>
  <c r="R108" i="1"/>
  <c r="P108" i="1"/>
  <c r="R107" i="1"/>
  <c r="P107" i="1"/>
  <c r="R106" i="1"/>
  <c r="P106" i="1"/>
  <c r="R105" i="1"/>
  <c r="P105" i="1"/>
  <c r="R104" i="1"/>
  <c r="P104" i="1"/>
  <c r="R103" i="1"/>
  <c r="P103" i="1"/>
  <c r="R102" i="1"/>
  <c r="P102" i="1"/>
  <c r="R101" i="1"/>
  <c r="P101" i="1"/>
  <c r="R100" i="1"/>
  <c r="P100" i="1"/>
  <c r="R99" i="1"/>
  <c r="P99" i="1"/>
  <c r="R98" i="1"/>
  <c r="P98" i="1"/>
  <c r="R97" i="1"/>
  <c r="P97" i="1"/>
  <c r="R96" i="1"/>
  <c r="P96" i="1"/>
  <c r="R95" i="1"/>
  <c r="P95" i="1"/>
  <c r="R94" i="1"/>
  <c r="P94" i="1"/>
  <c r="R93" i="1"/>
  <c r="P93" i="1"/>
  <c r="R92" i="1"/>
  <c r="P92" i="1"/>
  <c r="R91" i="1"/>
  <c r="P91" i="1"/>
  <c r="R90" i="1"/>
  <c r="P90" i="1"/>
  <c r="R89" i="1"/>
  <c r="P89" i="1"/>
  <c r="R88" i="1"/>
  <c r="P88" i="1"/>
  <c r="R87" i="1"/>
  <c r="P87" i="1"/>
  <c r="R86" i="1"/>
  <c r="P86" i="1"/>
  <c r="R85" i="1"/>
  <c r="P85" i="1"/>
  <c r="R84" i="1"/>
  <c r="P84" i="1"/>
  <c r="R83" i="1"/>
  <c r="P83" i="1"/>
  <c r="R82" i="1"/>
  <c r="P82" i="1"/>
  <c r="R81" i="1"/>
  <c r="P81" i="1"/>
  <c r="R80" i="1"/>
  <c r="P80" i="1"/>
  <c r="R79" i="1"/>
  <c r="P79" i="1"/>
  <c r="R78" i="1"/>
  <c r="P78" i="1"/>
  <c r="R77" i="1"/>
  <c r="P77" i="1"/>
  <c r="R76" i="1"/>
  <c r="P76" i="1"/>
  <c r="R75" i="1"/>
  <c r="P75" i="1"/>
  <c r="R74" i="1"/>
  <c r="P74" i="1"/>
  <c r="R73" i="1"/>
  <c r="P73" i="1"/>
  <c r="R72" i="1"/>
  <c r="P72" i="1"/>
  <c r="R71" i="1"/>
  <c r="P71" i="1"/>
  <c r="R70" i="1"/>
  <c r="P70" i="1"/>
  <c r="R69" i="1"/>
  <c r="P69" i="1"/>
  <c r="R68" i="1"/>
  <c r="P68" i="1"/>
  <c r="R67" i="1"/>
  <c r="P67" i="1"/>
  <c r="R66" i="1"/>
  <c r="P66" i="1"/>
  <c r="R65" i="1"/>
  <c r="P65" i="1"/>
  <c r="R64" i="1"/>
  <c r="P64" i="1"/>
  <c r="R63" i="1"/>
  <c r="P63" i="1"/>
  <c r="R62" i="1"/>
  <c r="P62" i="1"/>
  <c r="R61" i="1"/>
  <c r="P61" i="1"/>
  <c r="R60" i="1"/>
  <c r="P60" i="1"/>
  <c r="R59" i="1"/>
  <c r="P59" i="1"/>
  <c r="R58" i="1"/>
  <c r="P58" i="1"/>
  <c r="R57" i="1"/>
  <c r="P57" i="1"/>
  <c r="R56" i="1"/>
  <c r="P56" i="1"/>
  <c r="R55" i="1"/>
  <c r="P55" i="1"/>
  <c r="R54" i="1"/>
  <c r="P54" i="1"/>
  <c r="R53" i="1"/>
  <c r="P53" i="1"/>
  <c r="R52" i="1"/>
  <c r="P52" i="1"/>
  <c r="R51" i="1"/>
  <c r="P51" i="1"/>
  <c r="R50" i="1"/>
  <c r="P50" i="1"/>
  <c r="R49" i="1"/>
  <c r="P49" i="1"/>
  <c r="R48" i="1"/>
  <c r="P48" i="1"/>
  <c r="R47" i="1"/>
  <c r="P47" i="1"/>
  <c r="R46" i="1"/>
  <c r="P46" i="1"/>
  <c r="R45" i="1"/>
  <c r="P45" i="1"/>
  <c r="R44" i="1"/>
  <c r="P44" i="1"/>
  <c r="R43" i="1"/>
  <c r="P43" i="1"/>
  <c r="R42" i="1"/>
  <c r="P42" i="1"/>
  <c r="R41" i="1"/>
  <c r="P41" i="1"/>
  <c r="R40" i="1"/>
  <c r="P40" i="1"/>
  <c r="R39" i="1"/>
  <c r="P39" i="1"/>
  <c r="R38" i="1"/>
  <c r="P38" i="1"/>
  <c r="R37" i="1"/>
  <c r="P37" i="1"/>
  <c r="R36" i="1"/>
  <c r="P36" i="1"/>
  <c r="R35" i="1"/>
  <c r="P35" i="1"/>
  <c r="R34" i="1"/>
  <c r="P34" i="1"/>
  <c r="R33" i="1"/>
  <c r="P33" i="1"/>
  <c r="R32" i="1"/>
  <c r="P32" i="1"/>
  <c r="R31" i="1"/>
  <c r="P31" i="1"/>
  <c r="R30" i="1"/>
  <c r="P30" i="1"/>
  <c r="R29" i="1"/>
  <c r="P29" i="1"/>
  <c r="R28" i="1"/>
  <c r="P28" i="1"/>
  <c r="R27" i="1"/>
  <c r="P27" i="1"/>
  <c r="R26" i="1"/>
  <c r="P26" i="1"/>
  <c r="R25" i="1"/>
  <c r="P25" i="1"/>
  <c r="R24" i="1"/>
  <c r="P24" i="1"/>
  <c r="R23" i="1"/>
  <c r="P23" i="1"/>
  <c r="R22" i="1"/>
  <c r="P22" i="1"/>
  <c r="R21" i="1"/>
  <c r="P21" i="1"/>
  <c r="R20" i="1"/>
  <c r="P20" i="1"/>
  <c r="R19" i="1"/>
  <c r="P19" i="1"/>
  <c r="R18" i="1"/>
  <c r="P18" i="1"/>
  <c r="R17" i="1"/>
  <c r="P17" i="1"/>
  <c r="R16" i="1"/>
  <c r="P16" i="1"/>
  <c r="R15" i="1"/>
  <c r="P15" i="1"/>
  <c r="R14" i="1"/>
  <c r="P14" i="1"/>
  <c r="R13" i="1"/>
  <c r="P13" i="1"/>
  <c r="R12" i="1"/>
  <c r="P12" i="1"/>
  <c r="R11" i="1"/>
  <c r="P11" i="1"/>
  <c r="R10" i="1"/>
  <c r="P10" i="1"/>
  <c r="R9" i="1"/>
  <c r="P9" i="1"/>
  <c r="R8" i="1"/>
  <c r="P8" i="1"/>
  <c r="R7" i="1"/>
  <c r="P7" i="1"/>
  <c r="R6" i="1"/>
  <c r="P6" i="1"/>
  <c r="R5" i="1"/>
  <c r="P5" i="1"/>
  <c r="R4" i="1"/>
  <c r="P4" i="1"/>
  <c r="R3" i="1"/>
  <c r="P3" i="1"/>
</calcChain>
</file>

<file path=xl/sharedStrings.xml><?xml version="1.0" encoding="utf-8"?>
<sst xmlns="http://schemas.openxmlformats.org/spreadsheetml/2006/main" count="2280" uniqueCount="543">
  <si>
    <t>Sr No</t>
  </si>
  <si>
    <t>SPOC</t>
  </si>
  <si>
    <t>Email ID</t>
  </si>
  <si>
    <t>Contact Number</t>
  </si>
  <si>
    <t>Asset Description as per FAR</t>
  </si>
  <si>
    <t>Make (OEM)</t>
  </si>
  <si>
    <t>Capacity 
(KVA)</t>
  </si>
  <si>
    <t>UOM (KVA/VA)</t>
  </si>
  <si>
    <t>Model Number</t>
  </si>
  <si>
    <t>Location</t>
  </si>
  <si>
    <t>Region 1</t>
  </si>
  <si>
    <t>State</t>
  </si>
  <si>
    <t>Address</t>
  </si>
  <si>
    <t>Installation date</t>
  </si>
  <si>
    <t>Warranty Expiry</t>
  </si>
  <si>
    <t>Concat</t>
  </si>
  <si>
    <t>Vertiv/Emersen</t>
  </si>
  <si>
    <t>KVA</t>
  </si>
  <si>
    <t>ups 3000 cham make (3KVA@2.4kW)/battery</t>
  </si>
  <si>
    <t>Champion</t>
  </si>
  <si>
    <t>UPS 6000 (6kva@ 4.8kw)(1Ph-1Ph)</t>
  </si>
  <si>
    <t>UPS Emerson make 10KVA Model S 400D</t>
  </si>
  <si>
    <t>UPS 6KVA Emerson Make PB600</t>
  </si>
  <si>
    <t>3KVA UPS+ISOLATE/TRANSFORMER BEST POWER</t>
  </si>
  <si>
    <t>BPE</t>
  </si>
  <si>
    <t>Under Warranty</t>
  </si>
  <si>
    <t>PB600</t>
  </si>
  <si>
    <t>UPS emerson make GXTMT+3KVA CX LB 16A</t>
  </si>
  <si>
    <t>UPS 6KVA Online Powerbank Emerson</t>
  </si>
  <si>
    <t>UPS-3KVA</t>
  </si>
  <si>
    <t>UPS  3KVAGXT MT+LB</t>
  </si>
  <si>
    <t>UPS 3KVA Champion Make (4 Hour Backup)</t>
  </si>
  <si>
    <t>UPS 3KVA Emerson CX-3000 5-6 hr. Backup</t>
  </si>
  <si>
    <t>3KVA UPS+ISOLATION/TRANSF-FUJI ELECTRIC</t>
  </si>
  <si>
    <t>Fuji Electric</t>
  </si>
  <si>
    <t>UPS 6KVA Online Powerbank(4 hour backup)</t>
  </si>
  <si>
    <t>6KVA UPS+ISOLATION/TRANSFORMER-6K, DELTA</t>
  </si>
  <si>
    <t>DELTA</t>
  </si>
  <si>
    <t>3KVAUPS+ISOLATE TRANSF-GXTMT+CX-3EMERSEN</t>
  </si>
  <si>
    <t>Numuric</t>
  </si>
  <si>
    <t>Novateur Electrical</t>
  </si>
  <si>
    <t>UPS Emerson make GXTMT+ 10 KVA</t>
  </si>
  <si>
    <t>GXT MTX+BX</t>
  </si>
  <si>
    <t>6KVA</t>
  </si>
  <si>
    <t>ups 3000 cham make (3KVA@2.4kW)-battery</t>
  </si>
  <si>
    <t>Best Power</t>
  </si>
  <si>
    <t>6KVA UPS+ISOLATION/TRANSF-GXT MTXEMERSEN</t>
  </si>
  <si>
    <t>6KVAUPS+ISOLATION/TRANSFORMER BEST POWER</t>
  </si>
  <si>
    <t>GXT MT+CX 3K LB</t>
  </si>
  <si>
    <t>UPS-3000 EX(3KVA@2.4kW) (1ph-1ph)</t>
  </si>
  <si>
    <t>10KVA UPS-WITH ISO-TRANS FUJI-ELEC</t>
  </si>
  <si>
    <t>10 KVA UPS</t>
  </si>
  <si>
    <t>UPS-10KVA</t>
  </si>
  <si>
    <t>UPS 10 KVA</t>
  </si>
  <si>
    <t>UPS 2KVA Champion Make (2 Hour Backup)</t>
  </si>
  <si>
    <t>UPS-2KVA</t>
  </si>
  <si>
    <t>UPS 3000 CHAM MAKE (3KVA@2.4KW)/BATTERY</t>
  </si>
  <si>
    <t>UPS 3KVA Champion Make (2-3 Hrs. Backup)</t>
  </si>
  <si>
    <t>UPS Emerson make 20KVA</t>
  </si>
  <si>
    <t>GXT MT + CX 3K LB</t>
  </si>
  <si>
    <t>UPS 6KVA EMERSON MAKE</t>
  </si>
  <si>
    <t>UPS 6KVA-1Phase Input / 1Phase Output</t>
  </si>
  <si>
    <t>UPS-3000</t>
  </si>
  <si>
    <t>UPS 10KVA EMERSON MAKE</t>
  </si>
  <si>
    <t>UPS Emerson 3KVAGXTMT + LB (4 hr backup)</t>
  </si>
  <si>
    <t xml:space="preserve">3KVAUPS+ISOLATE TRANSF-GXTMT+CX-3EMERSEN          </t>
  </si>
  <si>
    <t>GXTMT+CX</t>
  </si>
  <si>
    <t>UPS Emerson 20KVA Model 420D</t>
  </si>
  <si>
    <t>UPS Emerson Powerbank 6KVA (4-6 hr backu</t>
  </si>
  <si>
    <t>Bajaj Finance Limited, Gata No. 153, Moh Shiv Bagh, Mandi (Bazar Kalan) Ward No 12, Khodalpur Road, Laxmi Nagar, Bilaspur, Dist-Rampur, Uttar Pradesh, 244921</t>
  </si>
  <si>
    <t>UPS Emerson make GXTMT+3kva CXLB 16 Amp</t>
  </si>
  <si>
    <t>UPS Emerson S400D 20KVA with Battery</t>
  </si>
  <si>
    <t>6KVA UPS+ISOLATION/TRANSF-FUJI ELECTRIC</t>
  </si>
  <si>
    <t>10KVA UPS WITH ISO-TRANS DELTA</t>
  </si>
  <si>
    <t>RT-10K3P</t>
  </si>
  <si>
    <t>Ramgarh</t>
  </si>
  <si>
    <t>Bajaj Finance Limited Ground Floor, Munnu Seth Super Market, Ramgarh, Sonbhadra UP- 231213</t>
  </si>
  <si>
    <t>UPS 2KVA Emerson Make (2 Hour Backup)</t>
  </si>
  <si>
    <t>UPS 3KVA Champion Make 4100013205</t>
  </si>
  <si>
    <t>UPS 10KVA Emerson Super 400D</t>
  </si>
  <si>
    <t>UPS 3KVA</t>
  </si>
  <si>
    <t>Pondicherry</t>
  </si>
  <si>
    <t>South &amp; West 3</t>
  </si>
  <si>
    <t>3KVA UPS</t>
  </si>
  <si>
    <t>GXTMT+3KVA CX LB 16A</t>
  </si>
  <si>
    <t>Online UPS 10000 (10KVA@8kW)(3Ph 1Ph)</t>
  </si>
  <si>
    <t>30 KVA UPS Pure Sine Wave</t>
  </si>
  <si>
    <t>Ishwar Rajput</t>
  </si>
  <si>
    <t>ishwar.rajput@bajajfinserv.in</t>
  </si>
  <si>
    <t>Mob-8878867299</t>
  </si>
  <si>
    <t>Ambikapur</t>
  </si>
  <si>
    <t>Chhattisgarh</t>
  </si>
  <si>
    <t>Bajaj Finance 1st floor Dhanjal Complex infront of govt. Polytechnic college near life line hospital Ring Road NamnaKala Ambikapur 497001 (C.G.)</t>
  </si>
  <si>
    <t xml:space="preserve"> S 400D</t>
  </si>
  <si>
    <t>Bilaspur</t>
  </si>
  <si>
    <t>3Kva</t>
  </si>
  <si>
    <t>GXTMT+3kva CXL</t>
  </si>
  <si>
    <t>Champa</t>
  </si>
  <si>
    <t>Ground Floor, Didwania Complex, Above Bank Of Baroda, Goushala Road, Champa – 495671 (C.G))</t>
  </si>
  <si>
    <t>Online UPS 6000 (6KVA@4.8kW) (1Ph 1Ph)</t>
  </si>
  <si>
    <t>Online UPS 6KVA</t>
  </si>
  <si>
    <t>Jashpurnag</t>
  </si>
  <si>
    <t>Bajaj Finance Limited, 1st Floor, Chandraraj Complex, Khasra No. 1073/3, Raigarh Road, Above Idbi Bank &amp; Syndicate Bank, Jashpur Nagar - 496331 Dist. Jashpur (Chhattisgarh)</t>
  </si>
  <si>
    <t>Katghora</t>
  </si>
  <si>
    <t>Bajaj Finance Limited, Ground Floor, Bilaspur Road, In Front Of Durga Mandir Near Esaf Bank, Khatghora – 495445, Dist-Korba (Chhattisgarh)</t>
  </si>
  <si>
    <t>Kawardha</t>
  </si>
  <si>
    <t>Ground Floor Swashtik Bhawan, Raipur Road, Gurugovind Singh Ward, Kawardha, Chhattisgarh- 491995</t>
  </si>
  <si>
    <t>3KVAGXT MT+LB</t>
  </si>
  <si>
    <t>Korba</t>
  </si>
  <si>
    <t>1st Floor Plot no 160. Shanti Bhawan near Hotel Maharaja Above Punjab National Bank Transport Nagar Korba (C.G) – 495677</t>
  </si>
  <si>
    <t>Manendraga</t>
  </si>
  <si>
    <t>Bajaj Finance Limited, 1st Floor, Opp. Labour Office, Above Central Bank Atm, Near Vinay Hotel, Station Road Manendragarh 497442 (Cg)</t>
  </si>
  <si>
    <t>Pamgarh</t>
  </si>
  <si>
    <t>Bajaj Fianance Limited 1st Floor sahasa road Near Jagan talab Dist. janjgir champa Pamgarh CG-495554</t>
  </si>
  <si>
    <t>Pathalgaon</t>
  </si>
  <si>
    <t>Bajaj Finance Limited, Khasra No. 81/10, G/2 1st Floor, Ambikapur Road, Above Bank Of Baroda, Pathalgaon - 496118 Dist. Jashpur (Chhattisgarh)</t>
  </si>
  <si>
    <t>Pendra</t>
  </si>
  <si>
    <t>Bajaj Finance Limited, 1st Floor, War No. 11, State Highway -4, Infront Of Saraswati Shishu Mandir School, Pendra - 495119 Dist. Bilaspur (Cg)</t>
  </si>
  <si>
    <t>Raigarh</t>
  </si>
  <si>
    <t>Bajaj Finance Limited, 1st Floor, Dcot Plaza, Sh 1, Madhuban Para, Above Vip World, Raigarh 496001</t>
  </si>
  <si>
    <t>Raigarh Additional</t>
  </si>
  <si>
    <t>Bajaj Finance Limited, Modi Plaz, Dhimrapur road, Raigarh- 496001</t>
  </si>
  <si>
    <t>Ramanujganj</t>
  </si>
  <si>
    <t>Bajaj Finance Limited, Bus Stand, Beside Ramanujganj Thana, Infront of Shivam Grand Hotel, Ramanujganj-497220</t>
  </si>
  <si>
    <t>Shivrinarayan</t>
  </si>
  <si>
    <t>Bajaj Finance Limited, 1st Floor, Kharod Road Near Esaf Bank Dist. Janjgir Champa Shivrinarayan - 495557 (Cg)</t>
  </si>
  <si>
    <t>Surajpur</t>
  </si>
  <si>
    <t>Bajaj Finance Limited, 1st Floor, Khasra No. 335/2, Manendragarh Road, Mahamaya Marble &amp; Tiles, Chandarpur, Surajpur - 497229 (Chhattisgarh)</t>
  </si>
  <si>
    <t>Takhatpur</t>
  </si>
  <si>
    <t>Bajaj Finance Limited, Ground Floor, Gurudwara Complex, Gurudwara Road, Near Hdfc &amp; Idbi Bank, Dist Bilaspur,  takhatpur - 495330</t>
  </si>
  <si>
    <t>Nikhil Joshi</t>
  </si>
  <si>
    <t>nikhil.joshi@bajajfinserv.in</t>
  </si>
  <si>
    <t>Mob-9860292959</t>
  </si>
  <si>
    <t>CX-3000</t>
  </si>
  <si>
    <t>Amalapuram</t>
  </si>
  <si>
    <t>Andhra Pradesh</t>
  </si>
  <si>
    <t>Bajaj Finance Limited., 1st Floor , 7-2-27, Patchgolla Complex, Above  Bank of Maharashtra, Mummidivaram gate, Main Road, Amalapuram - 533201. Andhra Pradesh</t>
  </si>
  <si>
    <t>Anakapalle</t>
  </si>
  <si>
    <t>Bajaj Finance Limited., 1st  Floor, Parvathi Heights, 12-01-1937, Opp. Ntr Stadium, Anakapalle – 531001.  Andhra Pradesh</t>
  </si>
  <si>
    <t>Bhimavaram</t>
  </si>
  <si>
    <t>Eswara Towers, 22-11-11, 1St Floor, Near Mavulamma Temple Center, Axis Bank Bhimavaram -534201</t>
  </si>
  <si>
    <t>Kakinada</t>
  </si>
  <si>
    <t>1St Floor, N V R Complex, D.No. 13-1-57, Main Road, Kakinada 533001</t>
  </si>
  <si>
    <t>Kakinada Additional</t>
  </si>
  <si>
    <t>Viswantham Complex, # 5-1-61/2, Subhash Road, Suryaraopeta,  Ward No :08, Kakinada - 533001</t>
  </si>
  <si>
    <t>Kasibugga</t>
  </si>
  <si>
    <t>Bajaj Finance Limited., 1st  Floor,Kothakota Complex, Nxt Apsrtc Bus Stand, Kasibugga, Palasa - 532222. Andhra Pradesh</t>
  </si>
  <si>
    <t>Mandapeta</t>
  </si>
  <si>
    <t>Bajaj Finance Limited., 1st Floor, Above Tamilnadu Mercantile Bank, Beside Shri Krishna Lodge, Main Road, Mandapeta - 533308.  Andhra Pradesh</t>
  </si>
  <si>
    <t>Narsapur</t>
  </si>
  <si>
    <t>Bajaj Finance Limited., 1st Floor, Srinivas Nivas, .No:-3-1-1/1,1st Fllor,Above KVB Bank,Kotipalli Gari Veedi,Narsapuram-534275. Andhra Pradesh</t>
  </si>
  <si>
    <t>Narsipatnam</t>
  </si>
  <si>
    <t>Bajaj Finance Limited, #1-1-160, Shanti nagar,narsipatnam-Ankapali mainroad, above Kotak mahindra bank, Narsipatnam-531116</t>
  </si>
  <si>
    <t>UPS-300</t>
  </si>
  <si>
    <t>Padderu</t>
  </si>
  <si>
    <t>13-124, Gudivada Main Road, Paderu – 531024</t>
  </si>
  <si>
    <t>Palakollu</t>
  </si>
  <si>
    <t>Bajaj Finance Limited., D.No:- 35-5-20, 1st Floor,Middhe Narayanamma Complex, Opp. Anandh Sai Sweet stall, Palakollu - 534260. Andhra Pradesh</t>
  </si>
  <si>
    <t>Parvathipu</t>
  </si>
  <si>
    <t>Bajaj Finance Limited., 1st Floor,Krishna Building, Opp Hotel Srikanth, Rajiv Marg, Parvathipuram- 535501. Andhra Pradesh</t>
  </si>
  <si>
    <t>Rajahmundry</t>
  </si>
  <si>
    <t>2Nd Floor, Konduri Square, D.No. 36-7-14, Konduri Street, Innis Pet, Rajahmundry 533101</t>
  </si>
  <si>
    <t>Rajahmundry Additional</t>
  </si>
  <si>
    <t>3rd Floor, Konduri Square, D.No. 36-7-14, Konduri Street, Innis Pet, Rajahmundry 533101</t>
  </si>
  <si>
    <t>Rajam</t>
  </si>
  <si>
    <t>Bajaj Finance Limited., 1st Floor, D.NO.5-1-257, Above Corporation Bank, Beside Post Office, Srikakulam Road, Rajam-532127. Andhra Pradesh</t>
  </si>
  <si>
    <t>S Kota</t>
  </si>
  <si>
    <t># 187-1, First Floor, Beside Of Ramakrishna Theatre, Opp. To Indian Oil Petrol Bank, Araku Road, Srungavarapu Kota , Visakhapatnam, Andhra Pradesh 535145</t>
  </si>
  <si>
    <t>Samalkota</t>
  </si>
  <si>
    <t>Bajaj Finance Limited., 1st FLOOR, KVR COMPLEX, OPP:- SBI, PEDDAPURAM ROAD, SAMALKOTA-533440. Andhra Pradesh</t>
  </si>
  <si>
    <t>Srikakulam</t>
  </si>
  <si>
    <t>Potunuru Plaza, 1St Floor, Beside Konark Sweets, Gt Road, Srikakulam – 532001</t>
  </si>
  <si>
    <t>Tagarapuvalasa</t>
  </si>
  <si>
    <t>Bajaj Finanance Ltd. Bhagvan Enclave, 2nd Floor, D No.7-42-167/8, Ward No.9 Blockno.42, Visakhapatanam road, Tagarapuvalasa  Pincode -531163</t>
  </si>
  <si>
    <t>Tanuku</t>
  </si>
  <si>
    <t>Bajaj Finance Ltd, 1st  Floor,28-6-15, Sri Matha Towers,Velpur Road, Opp. Kummarla Street, Rajiv Chowk, Tanuku-534211 Andhra Pradesh</t>
  </si>
  <si>
    <t>S 400D</t>
  </si>
  <si>
    <t>Tuni</t>
  </si>
  <si>
    <t>Bajaj Finance Limited., 1st Floor, 4-2-24,Suneel Building, Above A To Z Mega Emporimprakasham Road, Main Road, Tuni – 533401. Andhra Pradesh</t>
  </si>
  <si>
    <t>10KVA UPS SET VERTIV 3PH INPUT&amp;OUTPUT</t>
  </si>
  <si>
    <t>Visakhapatnam Addtiional Ground Floor</t>
  </si>
  <si>
    <t>Bajaj Finance Limited, "Sri Toweers" D.No.45-56-2,Ground Floor 2&amp;3, Narasimha Nagar, Allipuram, Visakhapatanam - 530016.</t>
  </si>
  <si>
    <t>UPS 30KVA</t>
  </si>
  <si>
    <t>Vizag Additional</t>
  </si>
  <si>
    <t>Bajaj Finance Limited, 1St Floor, Sreya Complex, Narsimha Nagar, Kailasapuram, Visakhapatnam, Andhra Pradesh 530024</t>
  </si>
  <si>
    <t>Vizag Csb</t>
  </si>
  <si>
    <t>D.No-50-81-70/5, 1St Floor, Aditya Complex, Seethammapeta, Visakhapatnam – 530013</t>
  </si>
  <si>
    <t>UPS 10KVA</t>
  </si>
  <si>
    <t>Vizag Slpl</t>
  </si>
  <si>
    <t>49-24-65, Ravi Ghanta Complex, 2nd Floor, Sankara Mattam Road, Visakhapatnam – 530016</t>
  </si>
  <si>
    <t>GXTMT +3KVA</t>
  </si>
  <si>
    <t>Vizianagram</t>
  </si>
  <si>
    <t>1St Floor, Plot No.164/A, Opp. Mee Seva Center, Above United Bank Of India, Baba Metta,
Vuda Layout, Ring Road, Vizainagaram - 535 002.</t>
  </si>
  <si>
    <t>Yanam</t>
  </si>
  <si>
    <t>1st Floor, M.A.K Heritage, Bus stand Road, Near Axis Bank, Khaki Street, Yanam, Pondicherry - 533464</t>
  </si>
  <si>
    <t>Pandla Munirathnam</t>
  </si>
  <si>
    <t>pandla.munirathnam@bajajfinserv.in</t>
  </si>
  <si>
    <t>Anantapur</t>
  </si>
  <si>
    <t>Bajaj Finance Limited D No 12-4-66, Plot No 101, 1st Floor, S V Towers, 1st Floor , 80 Feet Road, Vidyut Nagar, Anantapur, 515004</t>
  </si>
  <si>
    <t>UPS  10KVA Model S 400D</t>
  </si>
  <si>
    <t>UPS PB600</t>
  </si>
  <si>
    <t>Chittoor</t>
  </si>
  <si>
    <t>Bajaj Finance Ltd,D.No: 8-341/3, 1st Floor, Chilumkuri Pride Towers, Gandhi Road, Chittoor-517001</t>
  </si>
  <si>
    <t>Dharmavara</t>
  </si>
  <si>
    <t>Bajaj Finance Ltd., D.No:23/195-197, 1st  Floor, Sai Nagar, Vaibhav Complex, Opp Indian Overseas Bank,  Near R T C Bus Stand, Dharmavaram – 515671. Andhra Pradesh</t>
  </si>
  <si>
    <t>UPS 3KVA CX-3000</t>
  </si>
  <si>
    <t>Gudur</t>
  </si>
  <si>
    <t>Bajaj Finance Ltd.,  D.No.10/12,Ground Floor, Om Sai Building, Zp High School Road, Beside Navatha Transport, Gudur – 524101. Andhra Pradesh</t>
  </si>
  <si>
    <t>Guntakal</t>
  </si>
  <si>
    <t>Bajaj Finance Ltd., , 16/130b, 1st  Floor,Above Icici Bank, Slv Talkies Road, Guntakal - 515 801. Andhra Pradesh</t>
  </si>
  <si>
    <t>Hindupur</t>
  </si>
  <si>
    <t>1st Floor, 18-143, M F Road, Opp. Karur Vysya Bank, Near Vijaya Bank, Hindupur – 515201</t>
  </si>
  <si>
    <t>6KVA UPS</t>
  </si>
  <si>
    <t>Kadapa</t>
  </si>
  <si>
    <t>Bajaj Finance Ltd,2Nd Floor, 42-112,113,114, Sai Arcade, Ngo’S Colony, Main Road, Kadapa-516002</t>
  </si>
  <si>
    <t>Kadapa Additional</t>
  </si>
  <si>
    <t>Bajaj Finance Ltd,2nd Floor, Subba Reddy Complex, D.No -1/2446, APHB Colony, Kadapa – 516002</t>
  </si>
  <si>
    <t>Kadiri</t>
  </si>
  <si>
    <t>Bajaj Finance Limited 1-1169 1st Floor, Above Karur Vysya Bank, Bypass Road, Near Vemareddy Circle, Kadiri, Andhra Pradesh 515591</t>
  </si>
  <si>
    <t>Kalyandurg</t>
  </si>
  <si>
    <t>Bajaj Finance Limited., 1st   Floor,Beside Butna Complex,Near Rtc Bus Stand,Main Road, Kalyandurg,Ananthapuram-515761. Andhra Pradesh</t>
  </si>
  <si>
    <t>3KVA GXTMT+CX-3EMERSEN</t>
  </si>
  <si>
    <t>Kuppam</t>
  </si>
  <si>
    <t>Bajaj Finance Ltd,No-14-182, 2nd Floor, A.P. Vajarevel Chetty Street, Kuppam, Chittoor (Dt) Ap</t>
  </si>
  <si>
    <t>UPS 6KVA GXT MTXEMERSEN</t>
  </si>
  <si>
    <t>Madanapalle Additional</t>
  </si>
  <si>
    <t>Bajaj Finance Ltd,2nd Floor, Vmc Height, #1-444-3, Bangalore Road, Madanapalli-517325</t>
  </si>
  <si>
    <t>UPS 2KVA</t>
  </si>
  <si>
    <t>Madanapalli</t>
  </si>
  <si>
    <t>Bajaj Finance Ltd,D.No.2651d/2b, 1st Floor, Ward No - 16-623-2-1, Gandhi Road, Pungunur Road, Madanapalle, Ap - 517325</t>
  </si>
  <si>
    <t>Naidupet</t>
  </si>
  <si>
    <t>Bajaj Finance Ltd,6-4-21/3,Lothuvanigunta-6, Naidupeta, Ap - 524126</t>
  </si>
  <si>
    <t>Palmaner</t>
  </si>
  <si>
    <t>Bajaj Finance Ltd., 2nd Floor, Sri Sai Balaji Complex, Above Swagruha Foods, Javali Street, Palmaneru – 517408. Andhra Pradesh</t>
  </si>
  <si>
    <t>Piler</t>
  </si>
  <si>
    <t>Bajaj Finance Ltd., D No.2/1805, 1st  Floor, Venkataramana Complex,  Near Kadapa Road, Pileru – 517214. Andhra Pradesh</t>
  </si>
  <si>
    <t>Proddutur</t>
  </si>
  <si>
    <t>GSR Complex, # 9/646/2/3/4, Survey No 548/1A,552, Sunnapubatti Veedhi, 9th ward, Proddatur, YSR Mydukur Raod, Proddatur -516362</t>
  </si>
  <si>
    <t>Pulivendula</t>
  </si>
  <si>
    <t>Bajaja FinanceLtd, Ward no 1, Survey no.444 opposite of thilak mobile,Mail road, Pulivendula, Kadapa dist, Pin code 516390,</t>
  </si>
  <si>
    <t>3KVA CX LB 16A</t>
  </si>
  <si>
    <t>Railway Koduru</t>
  </si>
  <si>
    <t>Bajaj Finance Ltd.,Ground Floor, CVSR Complex, Nethaji Road. Beside Police station,Railway Koduru – 516101. Andhra Pradesh</t>
  </si>
  <si>
    <t>Rajampet</t>
  </si>
  <si>
    <t>Bajaj Finance Ltd,2nd Floor, # 6/987-A-2, A B Narsamma Bhavanam, Above Andhra Bank, RS Road, Razampet (Andhra Pradesh) 516115</t>
  </si>
  <si>
    <t>Rayachoti</t>
  </si>
  <si>
    <t>Bajaj Finance Ltd.,D No 24/127, 1st Floor, Above Hdfc Bank, Alinabad Street, Rajampet Road, Rayachoti – 516269. Andhra Pradesh</t>
  </si>
  <si>
    <t>Rayadurg</t>
  </si>
  <si>
    <t>Bajaj Finance Limited H No 8-2-212 Near Vannuru Swamy Katta, Bellari Road, Rayadurg Town, Anantapuram Dist, Andhra Pradesh-515865.</t>
  </si>
  <si>
    <t>Srikalahsti</t>
  </si>
  <si>
    <t>Bajaj Finance Ltd,1st Floor, Above Indian Overseas Bank, 7-242, Kothapeta, Near Old Busstand, Sri Kalahasti - 517644 Ap</t>
  </si>
  <si>
    <t>Sulluerpeta</t>
  </si>
  <si>
    <t>Bajaj Finance Ltd., 1st  Floor, Above Sreevari Furniture, Gnt Road. Opp. Chaitanya School Sullurpeta – 524121. Andhra Pradesh</t>
  </si>
  <si>
    <t>Tadipatri</t>
  </si>
  <si>
    <t>Bajaj Finance Ltd., 1st Floor Kanchani Complex, Opp. Kanchana Hospital, Above Life Care Scan Center, Cb Road, Tadipatri - 515 411. Andhra Pradesh</t>
  </si>
  <si>
    <t>UPS 30KVA@27KW Champion 3PH-3PH</t>
  </si>
  <si>
    <t>Tirupati</t>
  </si>
  <si>
    <t>Bajaj Finance Ltd,1st &amp; 2nd Floor, Pradeep Plaza, 23-8-153, New Balaji Colony, Air Bypass Road, Tirupati- 517501</t>
  </si>
  <si>
    <t>Venkatagiri</t>
  </si>
  <si>
    <t>Bajaj Finance Ltd,1st Floor, Tirupati Road Opp Subhas Hospital, Venkatagiri, Tirupati, Ap Pin-524132</t>
  </si>
  <si>
    <t>Ranjana Gupta</t>
  </si>
  <si>
    <t>ranjana.gupta@bajajfinserv.in</t>
  </si>
  <si>
    <t>Mob-9300012003</t>
  </si>
  <si>
    <t>UPS_3KVA</t>
  </si>
  <si>
    <t>Balod</t>
  </si>
  <si>
    <t>Bajaj Finance Limited, 1st Floor, Nahata Heights, Ganjpara Main Road, Balod - 491226 (CG)</t>
  </si>
  <si>
    <t>Bhatapara</t>
  </si>
  <si>
    <t>Bajaj Finance Limited, 1st Floor, Opp. City Garden Main Road Sadar Bazar Gandhi Mandir Bhatapara Dist. Baloda Bazar Cg.-493118</t>
  </si>
  <si>
    <t>Bhilai</t>
  </si>
  <si>
    <t>2nd Floor, Contractor Colony, Chandra Mourya Square, Supela, Bhilai 490023 (C.G)</t>
  </si>
  <si>
    <t>Bijapur R26</t>
  </si>
  <si>
    <t>Bajaj Finance Limited 1st floor Near Bus Stand &amp; City Kotwali Thana Macheriya Chennur Hyderabad -Jagdalpur Road NH 63 Bijapur Chhattisgarh- 494444</t>
  </si>
  <si>
    <t>Deobhog R26</t>
  </si>
  <si>
    <t>Bajaj Finance Limited Ground floor NH-130C Main road Near Rest House  Chhattisgarh Deobhog -493890</t>
  </si>
  <si>
    <t>Dhamtari</t>
  </si>
  <si>
    <t>Bajaj Finance Limited, 1st Floor , Bomabay Garage Area, Above Axis Bank, Jagdalpur Road, Near Kothari Park, Itwari Bazar, Dhamtari, 493773</t>
  </si>
  <si>
    <t>Dhamtari- Additional</t>
  </si>
  <si>
    <t>Bajaj Finance Limited, 1st Floor Memon Manzil, Near Jana Finance Bank, Ratna Bandha Road, Dhamtari, Chhattiisgarh- 493773</t>
  </si>
  <si>
    <t>Dongargarh</t>
  </si>
  <si>
    <t>Bajaj Finance Limited, 1st Floor, Ganesh Bada Bhagat Singh Ward, Near Govt Boys School, Dongargarh - 491445 Dist - Rajnandgaon (Cg)</t>
  </si>
  <si>
    <t>Jagdalpur</t>
  </si>
  <si>
    <t>2st Floor, Ashirwad Complex, Rautpara, B/H Lagoo Hospital, Agrasen Chowk, Jagdalpur - 494001 (C.G)</t>
  </si>
  <si>
    <t>Khairagarh</t>
  </si>
  <si>
    <t>Bajaj Finance Limited, 1st Floor, Shulochana Tower, Itwari Bazar Main Road, State Highay 6, Khairagarh 491881, Dist-Rajnandgaon (Chhattisgarh)</t>
  </si>
  <si>
    <t>Kharora R-29</t>
  </si>
  <si>
    <t>Bajaj Finance Limited 1st Floor, Infront of Indian Overseas Bank, Kesla, Kharora, Tilda Simga Road, Kharora, (C.G.) 493225</t>
  </si>
  <si>
    <t>Kondagaon</t>
  </si>
  <si>
    <t>Bajaj Finance Limited, 2nd Floor 377/2kh, Near Saroj Hardware, Jamkot Para, Kondagaon - 494226 (Chhattisgarh)</t>
  </si>
  <si>
    <t>Kumhari U-23</t>
  </si>
  <si>
    <t>Bajaj Finance Limited, Ground Floor, Gaurav Path, Infront of Dusherra Maidan, Kumhari 490042 Chhattisgarh</t>
  </si>
  <si>
    <t>Mahasamund</t>
  </si>
  <si>
    <t>Bajaj Finance Limited, 1st Floor, Above Vijaya Bank, Ward No13, Station Road, Mahasamund-493445 (Cg)</t>
  </si>
  <si>
    <t>Pakhanjur R-29</t>
  </si>
  <si>
    <t>1st Floor Ward No 2 Thana Para Main Road Pankhanjur 494776</t>
  </si>
  <si>
    <t>5420D20KVA</t>
  </si>
  <si>
    <t>Raipur</t>
  </si>
  <si>
    <t>1st Floor, SKY Park, Ravi Nagar, GE Road, Near Collectorate Square, Raipur – 492001 (CG)</t>
  </si>
  <si>
    <t>Rajim</t>
  </si>
  <si>
    <t>Bajaj Finance Limited, Ground Floor, Ward No 12, Besides Bsnl Exchange, Kushbu Beauty Parlor, Mahasamund Road Rajim - 493885 (Cg)</t>
  </si>
  <si>
    <t>Rajnandang</t>
  </si>
  <si>
    <t>1St Floor, Hall No. - 3, Commercial Complex, New Bus Stand,Opp. Gurudwara, Rajanadgaon - 491 441 (C.G)</t>
  </si>
  <si>
    <t>Saraipali</t>
  </si>
  <si>
    <t>Bajaj Finance Limited, Ground Floor, Khasra No. 745/2, Main Road, Near Bank Of India, Saraipali, Dist: Mahasamund - 493558 (Chhattisgarh)</t>
  </si>
  <si>
    <t>Sai Teja P</t>
  </si>
  <si>
    <t>saiteja.pachari@bajajfinserv.in</t>
  </si>
  <si>
    <t>Mob-9985253830</t>
  </si>
  <si>
    <t>Addanki</t>
  </si>
  <si>
    <t xml:space="preserve">Bajaj Finance Ltd., 2nd  floor, Above Indian Bank, GSR &amp; Sons Residency, NH-5, Guntur Chennai Highway, Addanki – 523201. Andhra Pradesh </t>
  </si>
  <si>
    <t>Adoni</t>
  </si>
  <si>
    <t>Bajaj Finance Ltd., D No.21/143/70/B, 1st   Floor, Usman Plaza, Opp. Royal Function Hall, SKD Colony, Adoni – 518301. Andhra Pradesh</t>
  </si>
  <si>
    <t>Allagadda</t>
  </si>
  <si>
    <t>Bajaj Finance Ltd, Srini Heights,Karanja Complex, Opp :- Market TB Road , Allagadda-518543. Andhra Pradesh</t>
  </si>
  <si>
    <t>Champion 3KVA</t>
  </si>
  <si>
    <t>Amaravathi</t>
  </si>
  <si>
    <t>Bajaj Finance Ltd, 2nd Floor, Vasavi Complex, Opp. Bsnl Office Main Road, Amaravathi, Guntur Dt., Andhra Pradesh-522020. Mobile: +91 9494648977.</t>
  </si>
  <si>
    <t>Chilakaluripet</t>
  </si>
  <si>
    <t>Bajaj Finance Ltd, 1st Floor, D.No:5-785/1, Thota Barthdu Complex, Gt Road, Narsarao Peta Center, Chilakaluripeta-  522616</t>
  </si>
  <si>
    <t>Chirala</t>
  </si>
  <si>
    <t>Bajaj Finance Ltd, 1st floor, Door No: 14-21-85, Dharbav Road,Opp. State Bank Of India, Chirala Pin : 523155</t>
  </si>
  <si>
    <t>Eluru</t>
  </si>
  <si>
    <t>Bajaj Finance Ltd, 23A-7-19,1St Floor, K K S Street, Icici Bank Upstairs, R R Pet, Eluru- 534 002</t>
  </si>
  <si>
    <t>Online UPS 6Kva</t>
  </si>
  <si>
    <t>Eluru Additional</t>
  </si>
  <si>
    <t>Bajaja Finanace Ltd,Door No.: 27-1-36/3, Raguram Nilayam , 2nd floor, Journalist colony, Ammenapeta, Eluru, Pin code : 534006. </t>
  </si>
  <si>
    <t>3K/ 72VDC</t>
  </si>
  <si>
    <t>Gannavaram</t>
  </si>
  <si>
    <t>Bajaj Finance Ltd, 1St Floor, Chimakurthy Commercial Complex, 1-193,  Gnt Road, Nh 5, Gannaram - 521101</t>
  </si>
  <si>
    <t>Giddalur</t>
  </si>
  <si>
    <t>Bajaj Finance Ltd., D.No.3-7-86, 1st  Floor, Above Syndicate Bank,  Lakshminarayan Nilayam, Jatharlakatta veedhi, Giddalur – 523357. Andhra Pradesh</t>
  </si>
  <si>
    <t>Gudivada</t>
  </si>
  <si>
    <t>Bajaj Finance Ltd, Ground Floor, "Sbi Building"Door No: 4/273, Near Sobhana Hotel, Ganganamma Street, Gudiwada – 521 301</t>
  </si>
  <si>
    <t>UPS Emerson Liberty ITA 20KVA</t>
  </si>
  <si>
    <t>UPS 20 KVA</t>
  </si>
  <si>
    <t>Guntur</t>
  </si>
  <si>
    <t>Bajaj finance Ltd, D.No : 5-25-92, Prasad Nilayam , 2nd floor, 3/ 7 lane, Brodipet, GUNTUR - 522002</t>
  </si>
  <si>
    <t>S600E-10KVA</t>
  </si>
  <si>
    <t>Guntur Additional</t>
  </si>
  <si>
    <t>Bajaj Finance Ltd, 2nd Floor, LMB Plaza, Dr No – 12-25-55, T S No - 530 &amp; 531, Old Ward No – 5, Block No – 5, Opposite Metro Theater, Kothapet Main Road, Guntur – 522001</t>
  </si>
  <si>
    <t>Hanuman Junction</t>
  </si>
  <si>
    <t>Bajaj finance Ltd, Door No.6-59,  Old No.4-112, Above Trends, Vijaywada Road, Bapulapadu, Hanumanjunction-521105</t>
  </si>
  <si>
    <t>MTTCV5KVA</t>
  </si>
  <si>
    <t>Jaggayyapeta</t>
  </si>
  <si>
    <t>Bajaj Finance Limited., 1st Floor, Above Sai Furniture, Parimala Complex, Opp Andhra Bank, Hydrabad Road, Jaggayyapet - 521175. Andhra Pradesh</t>
  </si>
  <si>
    <t>Jangareddygudem</t>
  </si>
  <si>
    <t>Bajaj finance Ltd,1St Floor, Vandanappu Venkateswara Complex, Above Icici Bank, Eluru Main Road, Jangareddygudem (Andhra Pradesh) 534447</t>
  </si>
  <si>
    <t>Kandakur</t>
  </si>
  <si>
    <t xml:space="preserve">Bajaj Finance Ltd,16-1-13, 1st Floor, Pamuru Rd, opp. CO-OPERATIVE BANK, Kota Reddy Nagar, Kandukur, AP </t>
  </si>
  <si>
    <t>GXTMT+CX,3KLB</t>
  </si>
  <si>
    <t>Kavali</t>
  </si>
  <si>
    <t>Bajaj Finance Ltd., 1st   Floor ,Above Orintal Bank Of Commerce, Trunk Road, Kavali – 524201. Andhra Pradesh</t>
  </si>
  <si>
    <t>3K/72V</t>
  </si>
  <si>
    <t>Kondapalli</t>
  </si>
  <si>
    <t>Bajaj finance Ltd, 2nd Floor, Near St.Anns Hospital, 2-86, Main Road, Kondapalli - 521228</t>
  </si>
  <si>
    <t>PB-600</t>
  </si>
  <si>
    <t>Kurnool</t>
  </si>
  <si>
    <t>Bajaj finance Ltd, 2nd Floor, 40-29-1-c, SP Square, Park Road, Malabar Gold Shop, Kurnool 518001</t>
  </si>
  <si>
    <t>PB6KVA</t>
  </si>
  <si>
    <t>Machilipatnam</t>
  </si>
  <si>
    <t>Bajaj Finance Ltd, Sri Manikanta Classy, 1St Floor, D.No. 23-15 To 17, 'X' Roads, Ramanaidupet,Machilipatnam Ap.-521001</t>
  </si>
  <si>
    <t>MTT3KVA</t>
  </si>
  <si>
    <t>Mangalagiri</t>
  </si>
  <si>
    <t>Bajaj Finance Limited, Door No.8-711, Near Husen Katta, Above Punjab National Bank, Old Mangalagiri, Pin code 522503</t>
  </si>
  <si>
    <t>Markapur</t>
  </si>
  <si>
    <t>Bajaj Finance Ltd., D.NO:7/486-489, 1st   Floor, Devireddy Complex, Above Bank of India, Nehru Street, Markapur – 523316. Andhra Pradesh</t>
  </si>
  <si>
    <t>Nandikotkur</t>
  </si>
  <si>
    <t>Bajaj Finance Ltd, 1st Floor, Shop.no:-4-28,Rabbani Complex KG Road,Near RTC Bus Stand,Main Road,Nandikotkur Andhra Pradesh-508401</t>
  </si>
  <si>
    <t>Nandyal</t>
  </si>
  <si>
    <t>Bajaj Finance Ltd, 1st Floor, #Plot No- 402, Padmavathi Nagar, Main Road, Nandyal-518501</t>
  </si>
  <si>
    <t>Narasaraopet</t>
  </si>
  <si>
    <t>Bajaj Finance Limited, Dno: 9-1-73, Old Ward No-4, New Ward No-5, Old Survey No-423, TS No-1632, Gangula Edukondala Reddy Complex. Railway Station Road, Narasaraopet, Pin-522601</t>
  </si>
  <si>
    <t>ITA-2, 20 Kva</t>
  </si>
  <si>
    <t>Nellore</t>
  </si>
  <si>
    <t>Bajaj Finance Ltd,M C Arcade, 26-16-370 Mini Bypass road Kondayapalem, Nellore 524003</t>
  </si>
  <si>
    <t>Online UPS 10Kva</t>
  </si>
  <si>
    <t>Nellore Additional</t>
  </si>
  <si>
    <t>Bajaj Finance Ltd,D no : 16-2-436, Mini Bypass Road, Minimum Substation, Nellore -524003</t>
  </si>
  <si>
    <t>Online UPS 3Kva</t>
  </si>
  <si>
    <t>Nuzividu</t>
  </si>
  <si>
    <t>Bajaj Finance Limited., 1st Floor, Basu Complex, NO.20/164, Pedda Gandhi, Bomma Center, Tirvur Road, Opp Axis Bank, Nuzividu – 521201. Andhra Pradesh</t>
  </si>
  <si>
    <t>Ongole</t>
  </si>
  <si>
    <t>Bajaj finance Ltd, 1st Floor, 5-70, NGO Colony, 2nd Cross road, opp power office, Karnool Raod, Ongole -523001</t>
  </si>
  <si>
    <t>ONFINITI 3KVA-96 FMI C</t>
  </si>
  <si>
    <t>Piduguralla</t>
  </si>
  <si>
    <t>Bajaj Finance Ltd, D.No.7-407/1, 1st  Floor, Above Axis Bank, Near Anji Reddy Hospital, Main Road, Piduguralla - 522413. Andhra Pradesh</t>
  </si>
  <si>
    <t>Ponnur</t>
  </si>
  <si>
    <t>Bajaj Finance Ltd, 1st Floor, Door No: 15-194, Opp Andhra Bank, G B C Road, Ponnur (Andhra Pradesh) 522124</t>
  </si>
  <si>
    <t>Repalle</t>
  </si>
  <si>
    <t>Bajaj Finance Ltd, 2nd  Floor, Raghava Nilayam, Above Bank of Baroda, No.5977, Main Road, Railpet, Repalle – 522265. Andhra Pradesh</t>
  </si>
  <si>
    <t>Online UPS 2Kva</t>
  </si>
  <si>
    <t>Tadepalligudem</t>
  </si>
  <si>
    <t>Bajaj Finance Ltd, 2Nd Floor, 2-12-19, Kam Nursing Home Complex, Bandoru Vari Street, 26Th Ward, Railway Station Road, Tadepalligudem - 534101.</t>
  </si>
  <si>
    <t>UPS 3KVA (WITH 12V/100AH BATTERY - RAJAHMUNDRY</t>
  </si>
  <si>
    <t>UPS PB 6KVA</t>
  </si>
  <si>
    <t>Tenali</t>
  </si>
  <si>
    <t>Bajaj finance Ltd, 01st Floor, Srinivas Castel, Dno: 22-4-45, S N Park Road, Tenali-522201</t>
  </si>
  <si>
    <t>UPS 20 KVA ITA2</t>
  </si>
  <si>
    <t>Vijayawada Additional 2Nd Floor</t>
  </si>
  <si>
    <t>Bajaj Finance Ltd, Door No: 15A-16-1/7, 1st Floor, KKR ICON, Opposite Union Bank Of India, Main Road, Gurunanak Colony, Vijayawada –520 008</t>
  </si>
  <si>
    <t>10KVA / S6005</t>
  </si>
  <si>
    <t>Vijayawada Additional 5Th Floor</t>
  </si>
  <si>
    <t>Bajaj Finance Ltd, Door No: 15A-16-1/7,5th Floors, KKR ICON, Opposite Union Bank Of India, Main Road, Gurunanak Colony, Vijayawada –520 008</t>
  </si>
  <si>
    <t>Schneider Electic Make 6KVA</t>
  </si>
  <si>
    <t>Schneider</t>
  </si>
  <si>
    <t>9E6KS-IN</t>
  </si>
  <si>
    <t>Vijayawada Bafl</t>
  </si>
  <si>
    <t xml:space="preserve">Bajaj Finance Ltd (AF Verticle ) D No. 40-5-11, Tikkle road, Rajkamal Towers, Vijayawada-520010 </t>
  </si>
  <si>
    <t>UPS Emerson 20KVA Adapt make</t>
  </si>
  <si>
    <t>20KVA / 408V</t>
  </si>
  <si>
    <t>Vijayawada Csb</t>
  </si>
  <si>
    <t>Bajaj Finance Ltd, 2Nd Floor, Door No. 32-9-17, Madhu Mahalaxmi Chembers, Near Jammichettu Centre, Mogalrajpuram, Vijayawada - 520010</t>
  </si>
  <si>
    <t>20K/408V</t>
  </si>
  <si>
    <t>Delta Electronics Make 10kva</t>
  </si>
  <si>
    <t>Vijayawada Rtc</t>
  </si>
  <si>
    <t>Bajaj Finance Ltd, Satya Krishna Bhavan, D No : 52-1-8-13,NTR Colony, Veterinary colony, Oposite loyola college, Vijayawada -520008</t>
  </si>
  <si>
    <t>Yemmiganur</t>
  </si>
  <si>
    <t>Bajaj Finance Limited., D No - 1/1543, 1st  Floor,Opp.RTC Bus Stand,Gandhi Nagar,Yemmiganur,Kurnool Dist., Andhra Pradesh – 518360. Andhra Pradesh</t>
  </si>
  <si>
    <t>Sumit Kumar Singh</t>
  </si>
  <si>
    <t>sumit.singh30@bajajfinserv.in</t>
  </si>
  <si>
    <t>171106AS9007</t>
  </si>
  <si>
    <t>Bokaro</t>
  </si>
  <si>
    <t>Jharkhand</t>
  </si>
  <si>
    <t>Bajaj Finance Ltd, Office No. 4, 1st Floor, North Side N – 1, City Centre, Sector – 4, Bokaro Steel City, Jharkhand, Pin code – 827004</t>
  </si>
  <si>
    <t>M13L23C00981</t>
  </si>
  <si>
    <t>Bokaro Base 2</t>
  </si>
  <si>
    <t>WO20011029</t>
  </si>
  <si>
    <t>Bundu</t>
  </si>
  <si>
    <t>Bajaj Finance Ltd. 1st Floor Raghuwanshi Height , NH-33 Below bank of india &amp;Axis Bank , Dist. Ranchi Bundu-835204</t>
  </si>
  <si>
    <t>WO16061113</t>
  </si>
  <si>
    <t>Chaibasa</t>
  </si>
  <si>
    <t>Bajaj Finance Ltd, 1st floor, ld house, opposite hanuman mandir, amlatola, ps sadar thana, chaibasa, jharkhand 833201</t>
  </si>
  <si>
    <t>W017021042</t>
  </si>
  <si>
    <t>Chakradhar</t>
  </si>
  <si>
    <t>Bajaj Finance Ltd, 1st floor, beside hdfc bank, main road chakradharpur (jharkhand) - 833102</t>
  </si>
  <si>
    <t>8332L2304500406</t>
  </si>
  <si>
    <t>Chandil</t>
  </si>
  <si>
    <t>Bajaj Finance Ltd, Plot No – 212, Khata No -09, Main Market Station Road, Burudungri, chandil, Dist – Saraikela Kharswan ,Jharkhand -832401</t>
  </si>
  <si>
    <t>WO19041106</t>
  </si>
  <si>
    <t>Dhanbad</t>
  </si>
  <si>
    <t>Bajaj Finance Ltd, 3rd floor, commerce house, shastri nagar bank more, dhanbad - 828106</t>
  </si>
  <si>
    <t>M13L23B02392</t>
  </si>
  <si>
    <t>Gamharia</t>
  </si>
  <si>
    <t>Bajaj Finance Ltd,1st Floor Dream Inn Hotel, 1st floor near Ghoda baba Mandir main road Gamhariya, Jamshedpur , Sarikela Kharsawan Jharkhand -832108</t>
  </si>
  <si>
    <t>W019111156</t>
  </si>
  <si>
    <t>Ghatshila</t>
  </si>
  <si>
    <t>Bajaj Finance Ltd. 1st Floor, Goyal Complex, Main Road, Above Canara Bank Ghatshila -832303 (Jharkhand)</t>
  </si>
  <si>
    <t>M13L23H00062</t>
  </si>
  <si>
    <t>Govindpur</t>
  </si>
  <si>
    <t>Bajaj Finance Ltd, Khata No .238, Plot No. 1825, New Khata No 118, New Plot No, 2750, Khata No. 283, Plot No.1827, New Khata No.701, New Plot No. 2746, New Tyeacher Training School, Behind Kotak Mahindra Bank Near Heam Hospital Chatt Talab, Govindpur, Dhanbad, Jharkhand – 828109</t>
  </si>
  <si>
    <t>8362L1906100054</t>
  </si>
  <si>
    <t>Gumla</t>
  </si>
  <si>
    <t>Bajaj Finance Ltd. 2nd Floor, Ward No.17 R-6 Tower 2Nd Floor Above State Bank Of India Jashpur Road Gumla Jharkhand -835207</t>
  </si>
  <si>
    <t>WO20021084</t>
  </si>
  <si>
    <t>Jamshedpur</t>
  </si>
  <si>
    <t>Bajaj Finance Ltd, The SANCTUM,2nd Floor &amp; 3rd floor,Above YES Bank,141,S.N.P Area,Ambagan,Sakchi,Jamshedpur,Jharkhand-831001</t>
  </si>
  <si>
    <t>150410ES2126</t>
  </si>
  <si>
    <t>WO22041044</t>
  </si>
  <si>
    <t>Karmatar</t>
  </si>
  <si>
    <t>First Floor, Above Bank of India, Post &amp; PS Karmatar Dist. Jamtara, JH -815352</t>
  </si>
  <si>
    <t>8332L2304500494</t>
  </si>
  <si>
    <t>Katrasgarah</t>
  </si>
  <si>
    <t>Bajaj Finance Ltd,Mouza No.239, Khata No -412, Plot No -1801, Kalali Phatak, Katras Bazar, Katrasgarh ,Jharkhand -828114</t>
  </si>
  <si>
    <t>WQ20011595</t>
  </si>
  <si>
    <t>Khunti</t>
  </si>
  <si>
    <t>Bajaj Finance Ltd. 1st Floor, Basant Complex, Neta Ji Chowk, Main Road NH75, Khuti-835210 (Jharkhand)</t>
  </si>
  <si>
    <t>M13L23C00799</t>
  </si>
  <si>
    <t>Mahuadanr</t>
  </si>
  <si>
    <t>Bajaj Finance Ltd,  Mouza No. 136, Khata No.77, Plot No.535, 536 &amp; 537,Opposite Azad Market, Mahuwadanr, Dist – Latehar, Jharkhand – 822119</t>
  </si>
  <si>
    <t>WO19111226</t>
  </si>
  <si>
    <t>Nirsa</t>
  </si>
  <si>
    <t>Bajaj Finance Ltd, 1st floor , above sbi atm, jamtara road, nirsa market,jharkhand, nirsa 828205</t>
  </si>
  <si>
    <t>WQ20011059</t>
  </si>
  <si>
    <t>Peterbar</t>
  </si>
  <si>
    <t>Bajaj Finance Ltd. 1st Floor, Beside Bank Of India, Main Road 110, ranchi, Dhanbad Road, Village Gagi Post Peterbar, Bakaro, Jharkhand-829121</t>
  </si>
  <si>
    <t>WO1703166</t>
  </si>
  <si>
    <t>Phusro</t>
  </si>
  <si>
    <t>Bajaj Finance Ltd, Kakkar House, 1st Floor Main Road, Phusro Bazar, New Band Box, Near Prabhat battery  P.S. Bermo, Phusro - 829144 (Jharkhand)</t>
  </si>
  <si>
    <t>2101201740218406003A</t>
  </si>
  <si>
    <t>Ranchi</t>
  </si>
  <si>
    <t>Bajaj Finance Ltd, 3rd floor, estate plaza, office No 301, kantatuli chowk, old h b road, behind mangal tower, ranchi 834001</t>
  </si>
  <si>
    <t>8332l2308500050</t>
  </si>
  <si>
    <t>Saraikela</t>
  </si>
  <si>
    <t>Bajaj Finance Ltd, Ward no 06, Jail road, near KVPDSS Girls school , Saraikela , Jharkhand 833219</t>
  </si>
  <si>
    <t>Mob-7030325164</t>
  </si>
  <si>
    <t>WO19111152</t>
  </si>
  <si>
    <t>Barki Saraiya</t>
  </si>
  <si>
    <t>Bajaj Finance Ltd. 1st Floor, Near Vivekananda Square &amp; Ashok Pharma, Barki Saraiya- 825320 Dist-Giridih (Jharkhand)</t>
  </si>
  <si>
    <t>M13L23B02291</t>
  </si>
  <si>
    <t>Bishrampur</t>
  </si>
  <si>
    <t>Bajaj Finance Ltd,Mouza No-31, Khata No-33, Plot No-284, Near SBI Bank, sordih thana raod, Bishrampur, Garhwa, Dist-Palamu, Jharkhand – 822132</t>
  </si>
  <si>
    <t>8362L1906100056</t>
  </si>
  <si>
    <t>Daltonganj</t>
  </si>
  <si>
    <t>Bajaj Finance Ltd. 1st Floor Ranchi Road Redma Near Bhagbati Hospital Daltanganj Jharkhand -822101</t>
  </si>
  <si>
    <t>150706AS4698</t>
  </si>
  <si>
    <t>Deoghar</t>
  </si>
  <si>
    <t>Bajaj Finance Ltd, 1st floor, "deoghar palace",vip chowk, holding No. 128, ward No. 9, back side of v mart, deoghar - 814112</t>
  </si>
  <si>
    <t>M13L23B02089</t>
  </si>
  <si>
    <t>Deori</t>
  </si>
  <si>
    <t>Bajaj Finance Ltd, Khata No 78, Plot No 27, Beside Bank of India, Infront of Block Office Deori, Dist – Giridih, Jharkhand -815314</t>
  </si>
  <si>
    <t>WO16061117</t>
  </si>
  <si>
    <t>Dumka</t>
  </si>
  <si>
    <t>Bajaj Finance Ltd, Ground floor, holding No. 196, bhagalpur road, ps: dumka town, dumka Beside yamaha showroom, opp. To yash electronics. Jharkhand- 814101</t>
  </si>
  <si>
    <t>M13L23H00105</t>
  </si>
  <si>
    <t>Dumri</t>
  </si>
  <si>
    <t>Bajaj Finance Limited, Barnawal market 1st Floor Khata No 49/76 plot No 633/1228 Isri Bazar , Old GT Road Post office near Bank of India Isri Nimiyaghat Dumri Pin 825167</t>
  </si>
  <si>
    <t>W019111158</t>
  </si>
  <si>
    <t>Garhwa</t>
  </si>
  <si>
    <t>Bajaj Finance Ltd. 1st Floor, Plot No.39 Near HDFC bank, Chiniya Road, Garhwa -822114 (Jharkhand)</t>
  </si>
  <si>
    <t>180706PB0108</t>
  </si>
  <si>
    <t>Giridih</t>
  </si>
  <si>
    <t>Bajaj Finance Ltd, “ Balaji towers, 1st floor, giridih bengabad main road, barganda, makatpur, giridih, jharkhand, near bank of maharashtra 815301</t>
  </si>
  <si>
    <t>8362L1905100131</t>
  </si>
  <si>
    <t>Godda</t>
  </si>
  <si>
    <t>Bajaj Finance Ltd. 2nd Floor, Ward No-2 pirpainti road 2nd Floor Push Plaza Above ICICI BANK &amp; HDFC Bank Near UCO Bank &amp; HDB Fincial Godda Jharkhand -814133</t>
  </si>
  <si>
    <t>UPS-3000 Champion EX(3KVA@2.4kW) (1ph-1ph)</t>
  </si>
  <si>
    <t>WO22051229</t>
  </si>
  <si>
    <t>Hansdiha</t>
  </si>
  <si>
    <t>Ground Floor Near javahar navoday vidhyalay Hansdiha Dumka Road Moja Parkheta Hansdiha Dist. Dumka Jharkhand Pincode 814145</t>
  </si>
  <si>
    <t>150706AS4692</t>
  </si>
  <si>
    <t>Hazaribag</t>
  </si>
  <si>
    <t>Bajaj Finance Ltd, " JAI MATA DI COMPLEX, Near Old Muffasil Thana and St. Columnas College, Ranchi-Patna Road hazaribag - 825 301.</t>
  </si>
  <si>
    <t>WO20011058</t>
  </si>
  <si>
    <t>Jamua</t>
  </si>
  <si>
    <t>Bajaj Finance Ltd. Ground floor Plot No. 449, Khata No-13, Infornt Of Canara Bank Above TVS Showroom Thana Road dist Giridih, Jamua-Jharkhand 815318</t>
  </si>
  <si>
    <t>WC20011598</t>
  </si>
  <si>
    <t>Khalari</t>
  </si>
  <si>
    <t>Bajaj Finance Ltd. 2nd floor ,Sonu Motor Building,Sahid Chowk, KD Road,Near Over bridge, Khalari,Dist:- Ranchi, Jharkhand – 829205</t>
  </si>
  <si>
    <t>W017031052</t>
  </si>
  <si>
    <t>Kodarma</t>
  </si>
  <si>
    <t>Bajaj Finance Ltd, Ground floor, j k tower, jhumri telaiya ranchi patna road jharkhand, c.d. Colony, jhumri telaiya, koderma, jharkhand 825409</t>
  </si>
  <si>
    <t>8362L1905100007</t>
  </si>
  <si>
    <t>Madhupur</t>
  </si>
  <si>
    <t>Bajaj Finance Ltd. 1St Floor, Nagar Palika More, Thane Chowk, Madhupur, Jharkhand, 815353</t>
  </si>
  <si>
    <t>W019101030</t>
  </si>
  <si>
    <t>Pakur</t>
  </si>
  <si>
    <t>Bajaj Finance Ltd. 1st Floor, Plot No. 1275, Above UCO Bank, Main Road, Kalibhansan Pakur -816107 (Jharkhand)</t>
  </si>
  <si>
    <t>WO20011080</t>
  </si>
  <si>
    <t>Patratu</t>
  </si>
  <si>
    <t>Bajaj Finance Ltd. Ground floor, Near Bhandan bank Station road dist ramghar, Patratu - 829118</t>
  </si>
  <si>
    <t>W019091438</t>
  </si>
  <si>
    <t>8362L1905100123</t>
  </si>
  <si>
    <t>Sahibganj</t>
  </si>
  <si>
    <t>Bajaj Finance Ltd. 1St Floor, Near Subhash Chowk, Above Honda Showroom, Sahibgunj, Jharkhand, 816109</t>
  </si>
  <si>
    <t>AMC  Vendor for 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</si>
</sst>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13">
    <font>
      <sz val="11"/>
      <color theme="1"/>
      <name val="Aptos Narrow"/>
      <family val="2"/>
      <scheme val="minor"/>
    </font>
    <font>
      <sz val="11"/>
      <color theme="1"/>
      <name val="Aptos Narrow"/>
      <family val="2"/>
      <scheme val="minor"/>
    </font>
    <font>
      <sz val="11"/>
      <color rgb="FF000000"/>
      <name val="Calibri1"/>
      <family val="2"/>
      <charset val="1"/>
    </font>
    <font>
      <sz val="11"/>
      <color rgb="FF000000"/>
      <name val="Calibri"/>
      <family val="2"/>
      <charset val="1"/>
    </font>
    <font>
      <sz val="10"/>
      <color rgb="FF000000"/>
      <name val="Arial"/>
      <family val="2"/>
      <charset val="1"/>
    </font>
    <font>
      <sz val="11"/>
      <color rgb="FF000000"/>
      <name val="Calibri"/>
      <family val="2"/>
    </font>
    <font>
      <sz val="10"/>
      <name val="Arial"/>
      <family val="2"/>
      <charset val="1"/>
    </font>
    <font>
      <sz val="11"/>
      <name val="Calibri"/>
      <family val="2"/>
      <charset val="1"/>
    </font>
    <font>
      <sz val="10"/>
      <color rgb="FF000000"/>
      <name val="Times New Roman"/>
      <family val="1"/>
    </font>
    <font>
      <sz val="10"/>
      <color theme="1"/>
      <name val="Times New Roman"/>
      <family val="1"/>
    </font>
    <font>
      <sz val="10"/>
      <name val="Times New Roman"/>
      <family val="1"/>
    </font>
    <font>
      <b/>
      <sz val="10"/>
      <color theme="1"/>
      <name val="Times New Roman"/>
      <family val="1"/>
    </font>
    <font>
      <sz val="10"/>
      <color theme="0"/>
      <name val="Times New Roman"/>
      <family val="1"/>
    </font>
  </fonts>
  <fills count="5">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0" fontId="2" fillId="0" borderId="0"/>
    <xf numFmtId="0" fontId="3" fillId="0" borderId="0"/>
    <xf numFmtId="0" fontId="1" fillId="0" borderId="0"/>
    <xf numFmtId="0" fontId="4" fillId="0" borderId="0"/>
    <xf numFmtId="0" fontId="5" fillId="0" borderId="0"/>
    <xf numFmtId="0" fontId="3" fillId="0" borderId="0"/>
    <xf numFmtId="0" fontId="6" fillId="0" borderId="0"/>
    <xf numFmtId="0" fontId="6" fillId="0" borderId="0"/>
    <xf numFmtId="0" fontId="7" fillId="0" borderId="0"/>
    <xf numFmtId="0" fontId="6" fillId="0" borderId="0"/>
  </cellStyleXfs>
  <cellXfs count="21">
    <xf numFmtId="0" fontId="0" fillId="0" borderId="0" xfId="0"/>
    <xf numFmtId="0" fontId="8" fillId="0" borderId="1" xfId="0" applyFont="1" applyBorder="1" applyAlignment="1">
      <alignment horizontal="center" vertical="center"/>
    </xf>
    <xf numFmtId="0" fontId="8" fillId="0" borderId="1" xfId="2" applyFont="1" applyBorder="1" applyAlignment="1">
      <alignment horizontal="center" vertical="center"/>
    </xf>
    <xf numFmtId="0" fontId="8" fillId="0" borderId="1" xfId="3" applyFont="1" applyBorder="1" applyAlignment="1">
      <alignment horizontal="center" vertical="center"/>
    </xf>
    <xf numFmtId="15" fontId="8" fillId="0" borderId="1" xfId="0" applyNumberFormat="1" applyFont="1" applyBorder="1" applyAlignment="1">
      <alignment horizontal="center" vertical="center"/>
    </xf>
    <xf numFmtId="0" fontId="9" fillId="0" borderId="1" xfId="0" applyFont="1" applyBorder="1" applyAlignment="1">
      <alignment horizontal="center" vertical="center"/>
    </xf>
    <xf numFmtId="43" fontId="9" fillId="3" borderId="1" xfId="1" applyFont="1" applyFill="1" applyBorder="1" applyAlignment="1">
      <alignment horizontal="center" vertical="center"/>
    </xf>
    <xf numFmtId="43" fontId="9" fillId="0" borderId="1" xfId="1" applyFont="1" applyFill="1" applyBorder="1" applyAlignment="1">
      <alignment horizontal="center" vertical="center"/>
    </xf>
    <xf numFmtId="0" fontId="10" fillId="0" borderId="1" xfId="3" applyFont="1" applyBorder="1" applyAlignment="1">
      <alignment horizontal="center" vertical="center"/>
    </xf>
    <xf numFmtId="164" fontId="9" fillId="0" borderId="1" xfId="1" applyNumberFormat="1" applyFont="1" applyFill="1" applyBorder="1" applyAlignment="1">
      <alignment horizontal="center" vertical="center"/>
    </xf>
    <xf numFmtId="0" fontId="9" fillId="0" borderId="1" xfId="4" applyFont="1" applyBorder="1" applyAlignment="1">
      <alignment horizontal="center" vertical="center"/>
    </xf>
    <xf numFmtId="0" fontId="10" fillId="0" borderId="1" xfId="0" applyFont="1" applyBorder="1" applyAlignment="1">
      <alignment horizontal="center" vertical="center"/>
    </xf>
    <xf numFmtId="14" fontId="9" fillId="0" borderId="1" xfId="0" applyNumberFormat="1" applyFont="1" applyBorder="1" applyAlignment="1">
      <alignment horizontal="center" vertical="center"/>
    </xf>
    <xf numFmtId="15" fontId="9" fillId="0" borderId="1" xfId="0" applyNumberFormat="1" applyFont="1" applyBorder="1" applyAlignment="1">
      <alignment horizontal="center" vertical="center"/>
    </xf>
    <xf numFmtId="0" fontId="10" fillId="0" borderId="1" xfId="8" applyFont="1" applyBorder="1" applyAlignment="1">
      <alignment horizontal="center" vertical="center"/>
    </xf>
    <xf numFmtId="0" fontId="11" fillId="0" borderId="1" xfId="0" applyFont="1" applyBorder="1" applyAlignment="1">
      <alignment horizontal="center" vertical="center"/>
    </xf>
    <xf numFmtId="0" fontId="9" fillId="0" borderId="1" xfId="8" applyFont="1" applyBorder="1" applyAlignment="1">
      <alignment horizontal="center" vertical="center"/>
    </xf>
    <xf numFmtId="0" fontId="9" fillId="0" borderId="1" xfId="2" applyFont="1" applyBorder="1" applyAlignment="1">
      <alignment horizontal="center" vertical="center"/>
    </xf>
    <xf numFmtId="0" fontId="12" fillId="2" borderId="1" xfId="0" applyFont="1" applyFill="1" applyBorder="1" applyAlignment="1">
      <alignment horizontal="center" vertical="center"/>
    </xf>
    <xf numFmtId="15" fontId="12" fillId="2" borderId="1" xfId="0" applyNumberFormat="1" applyFont="1" applyFill="1" applyBorder="1" applyAlignment="1">
      <alignment horizontal="center" vertical="center"/>
    </xf>
    <xf numFmtId="43" fontId="11" fillId="4" borderId="1" xfId="1" applyFont="1" applyFill="1" applyBorder="1" applyAlignment="1">
      <alignment horizontal="center" vertical="center"/>
    </xf>
  </cellXfs>
  <cellStyles count="12">
    <cellStyle name="Comma" xfId="1" builtinId="3"/>
    <cellStyle name="Normal" xfId="0" builtinId="0"/>
    <cellStyle name="Normal 11" xfId="2" xr:uid="{DF851606-B5FB-4FA5-9A2F-70E9633367AC}"/>
    <cellStyle name="Normal 13" xfId="3" xr:uid="{0F1631FC-D358-4B46-9709-9D108C0646D8}"/>
    <cellStyle name="Normal 13 2" xfId="7" xr:uid="{E68350D9-E72D-4FEB-9498-057E93D01B9D}"/>
    <cellStyle name="Normal 15" xfId="6" xr:uid="{38930A9D-AE7A-4167-B849-728A580435DE}"/>
    <cellStyle name="Normal 2" xfId="8" xr:uid="{3104B8EE-F4CE-4BD3-A724-914564098DE9}"/>
    <cellStyle name="Normal 2 3 2" xfId="10" xr:uid="{F9B8ED44-F201-473C-8EA5-8BDFF066A6D9}"/>
    <cellStyle name="Normal 3" xfId="5" xr:uid="{F98A38E6-694C-4E27-B78A-3BD4B83038E1}"/>
    <cellStyle name="Normal 4 2 2" xfId="9" xr:uid="{6F76E65B-A087-43D3-87BB-4B6DFFFF1CFA}"/>
    <cellStyle name="Normal 5" xfId="4" xr:uid="{89DEA45B-7CCA-43B0-B270-24AFDAA001C1}"/>
    <cellStyle name="Normal 6" xfId="11" xr:uid="{BE99FD70-BA10-4532-B91D-21AD86A15C5E}"/>
  </cellStyles>
  <dxfs count="5">
    <dxf>
      <font>
        <color rgb="FF9C0006"/>
      </font>
      <fill>
        <patternFill>
          <bgColor rgb="FFFFC7CE"/>
        </patternFill>
      </fill>
    </dxf>
    <dxf>
      <font>
        <color rgb="FF9C0006"/>
      </font>
      <fill>
        <patternFill>
          <bgColor rgb="FFFFC7CE"/>
        </patternFill>
      </fill>
    </dxf>
    <dxf>
      <font>
        <sz val="11"/>
        <color rgb="FF9C0006"/>
        <name val="Aptos Narrow"/>
        <family val="2"/>
        <charset val="1"/>
      </font>
      <numFmt numFmtId="0" formatCode="General"/>
      <fill>
        <patternFill>
          <bgColor rgb="FFFFC7CE"/>
        </patternFill>
      </fill>
    </dxf>
    <dxf>
      <font>
        <sz val="11"/>
        <color rgb="FF9C0006"/>
        <name val="Aptos Narrow"/>
        <family val="2"/>
        <charset val="1"/>
      </font>
      <numFmt numFmtId="0" formatCode="General"/>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C885-D295-40ED-B92B-9AA45A554691}">
  <dimension ref="B2:R196"/>
  <sheetViews>
    <sheetView tabSelected="1" topLeftCell="O1" workbookViewId="0">
      <selection activeCell="X12" sqref="W12:X12"/>
    </sheetView>
  </sheetViews>
  <sheetFormatPr defaultRowHeight="15"/>
  <cols>
    <col min="2" max="2" width="5.28515625" bestFit="1" customWidth="1"/>
    <col min="3" max="3" width="21.42578125" bestFit="1" customWidth="1"/>
    <col min="4" max="4" width="31.42578125" bestFit="1" customWidth="1"/>
    <col min="5" max="5" width="14" bestFit="1" customWidth="1"/>
    <col min="6" max="6" width="51.140625" bestFit="1" customWidth="1"/>
    <col min="7" max="7" width="12.7109375" bestFit="1" customWidth="1"/>
    <col min="8" max="8" width="14.7109375" bestFit="1" customWidth="1"/>
    <col min="9" max="9" width="14" bestFit="1" customWidth="1"/>
    <col min="10" max="10" width="47.7109375" bestFit="1" customWidth="1"/>
    <col min="11" max="11" width="47.140625" bestFit="1" customWidth="1"/>
    <col min="12" max="12" width="13.42578125" bestFit="1" customWidth="1"/>
    <col min="13" max="13" width="16.85546875" bestFit="1" customWidth="1"/>
    <col min="14" max="14" width="230.85546875" bestFit="1" customWidth="1"/>
    <col min="15" max="15" width="13.42578125" bestFit="1" customWidth="1"/>
    <col min="16" max="16" width="13.5703125" bestFit="1" customWidth="1"/>
    <col min="17" max="17" width="23.28515625" bestFit="1" customWidth="1"/>
    <col min="18" max="18" width="48.85546875" bestFit="1" customWidth="1"/>
  </cols>
  <sheetData>
    <row r="2" spans="2:18">
      <c r="B2" s="18" t="s">
        <v>0</v>
      </c>
      <c r="C2" s="18" t="s">
        <v>1</v>
      </c>
      <c r="D2" s="18" t="s">
        <v>2</v>
      </c>
      <c r="E2" s="18" t="s">
        <v>3</v>
      </c>
      <c r="F2" s="18" t="s">
        <v>4</v>
      </c>
      <c r="G2" s="18" t="s">
        <v>5</v>
      </c>
      <c r="H2" s="18" t="s">
        <v>6</v>
      </c>
      <c r="I2" s="18" t="s">
        <v>7</v>
      </c>
      <c r="J2" s="18" t="s">
        <v>8</v>
      </c>
      <c r="K2" s="18" t="s">
        <v>9</v>
      </c>
      <c r="L2" s="18" t="s">
        <v>10</v>
      </c>
      <c r="M2" s="18" t="s">
        <v>11</v>
      </c>
      <c r="N2" s="18" t="s">
        <v>12</v>
      </c>
      <c r="O2" s="19" t="s">
        <v>13</v>
      </c>
      <c r="P2" s="19" t="s">
        <v>14</v>
      </c>
      <c r="Q2" s="20" t="s">
        <v>542</v>
      </c>
      <c r="R2" s="20" t="s">
        <v>15</v>
      </c>
    </row>
    <row r="3" spans="2:18">
      <c r="B3" s="1">
        <v>1</v>
      </c>
      <c r="C3" s="5" t="s">
        <v>87</v>
      </c>
      <c r="D3" s="1" t="s">
        <v>88</v>
      </c>
      <c r="E3" s="1" t="s">
        <v>89</v>
      </c>
      <c r="F3" s="5" t="s">
        <v>61</v>
      </c>
      <c r="G3" s="1" t="s">
        <v>16</v>
      </c>
      <c r="H3" s="2">
        <v>6</v>
      </c>
      <c r="I3" s="1" t="s">
        <v>17</v>
      </c>
      <c r="J3" s="5"/>
      <c r="K3" s="5" t="s">
        <v>90</v>
      </c>
      <c r="L3" s="3" t="s">
        <v>82</v>
      </c>
      <c r="M3" s="5" t="s">
        <v>91</v>
      </c>
      <c r="N3" s="3" t="s">
        <v>92</v>
      </c>
      <c r="O3" s="12">
        <v>44838</v>
      </c>
      <c r="P3" s="4">
        <f t="shared" ref="P3:P56" si="0">O3+365*2</f>
        <v>45568</v>
      </c>
      <c r="Q3" s="7" t="s">
        <v>40</v>
      </c>
      <c r="R3" s="6" t="str">
        <f>_xlfn.CONCAT(Q3,M3,C3)</f>
        <v>Novateur ElectricalChhattisgarhIshwar Rajput</v>
      </c>
    </row>
    <row r="4" spans="2:18">
      <c r="B4" s="1">
        <v>2</v>
      </c>
      <c r="C4" s="5" t="s">
        <v>87</v>
      </c>
      <c r="D4" s="1" t="s">
        <v>88</v>
      </c>
      <c r="E4" s="1" t="s">
        <v>89</v>
      </c>
      <c r="F4" s="5" t="s">
        <v>21</v>
      </c>
      <c r="G4" s="1" t="s">
        <v>16</v>
      </c>
      <c r="H4" s="2">
        <v>10</v>
      </c>
      <c r="I4" s="1" t="s">
        <v>17</v>
      </c>
      <c r="J4" s="5" t="s">
        <v>93</v>
      </c>
      <c r="K4" s="5" t="s">
        <v>94</v>
      </c>
      <c r="L4" s="3" t="s">
        <v>82</v>
      </c>
      <c r="M4" s="5" t="s">
        <v>91</v>
      </c>
      <c r="N4" s="3" t="s">
        <v>69</v>
      </c>
      <c r="O4" s="12">
        <v>43483</v>
      </c>
      <c r="P4" s="4">
        <f t="shared" si="0"/>
        <v>44213</v>
      </c>
      <c r="Q4" s="7" t="s">
        <v>40</v>
      </c>
      <c r="R4" s="6" t="str">
        <f>_xlfn.CONCAT(Q4,M4,C4)</f>
        <v>Novateur ElectricalChhattisgarhIshwar Rajput</v>
      </c>
    </row>
    <row r="5" spans="2:18">
      <c r="B5" s="1">
        <v>3</v>
      </c>
      <c r="C5" s="5" t="s">
        <v>87</v>
      </c>
      <c r="D5" s="1" t="s">
        <v>88</v>
      </c>
      <c r="E5" s="1" t="s">
        <v>89</v>
      </c>
      <c r="F5" s="5" t="s">
        <v>33</v>
      </c>
      <c r="G5" s="3" t="s">
        <v>34</v>
      </c>
      <c r="H5" s="2">
        <v>3</v>
      </c>
      <c r="I5" s="1" t="s">
        <v>17</v>
      </c>
      <c r="J5" s="5" t="s">
        <v>95</v>
      </c>
      <c r="K5" s="5" t="s">
        <v>94</v>
      </c>
      <c r="L5" s="3" t="s">
        <v>82</v>
      </c>
      <c r="M5" s="5" t="s">
        <v>91</v>
      </c>
      <c r="N5" s="3" t="s">
        <v>69</v>
      </c>
      <c r="O5" s="13">
        <v>45268</v>
      </c>
      <c r="P5" s="4">
        <f t="shared" si="0"/>
        <v>45998</v>
      </c>
      <c r="Q5" s="9" t="s">
        <v>34</v>
      </c>
      <c r="R5" s="6" t="str">
        <f>_xlfn.CONCAT(Q5,M5,C5)</f>
        <v>Fuji ElectricChhattisgarhIshwar Rajput</v>
      </c>
    </row>
    <row r="6" spans="2:18">
      <c r="B6" s="1">
        <v>4</v>
      </c>
      <c r="C6" s="5" t="s">
        <v>87</v>
      </c>
      <c r="D6" s="1" t="s">
        <v>88</v>
      </c>
      <c r="E6" s="1" t="s">
        <v>89</v>
      </c>
      <c r="F6" s="5" t="s">
        <v>70</v>
      </c>
      <c r="G6" s="1" t="s">
        <v>16</v>
      </c>
      <c r="H6" s="2">
        <v>3</v>
      </c>
      <c r="I6" s="1" t="s">
        <v>17</v>
      </c>
      <c r="J6" s="5" t="s">
        <v>96</v>
      </c>
      <c r="K6" s="15" t="s">
        <v>97</v>
      </c>
      <c r="L6" s="3" t="s">
        <v>82</v>
      </c>
      <c r="M6" s="5" t="s">
        <v>91</v>
      </c>
      <c r="N6" s="3" t="s">
        <v>98</v>
      </c>
      <c r="O6" s="12">
        <v>43210</v>
      </c>
      <c r="P6" s="4">
        <f t="shared" si="0"/>
        <v>43940</v>
      </c>
      <c r="Q6" s="7" t="s">
        <v>40</v>
      </c>
      <c r="R6" s="6" t="str">
        <f>_xlfn.CONCAT(Q6,M6,C6)</f>
        <v>Novateur ElectricalChhattisgarhIshwar Rajput</v>
      </c>
    </row>
    <row r="7" spans="2:18">
      <c r="B7" s="1">
        <v>5</v>
      </c>
      <c r="C7" s="5" t="s">
        <v>87</v>
      </c>
      <c r="D7" s="1" t="s">
        <v>88</v>
      </c>
      <c r="E7" s="1" t="s">
        <v>89</v>
      </c>
      <c r="F7" s="5" t="s">
        <v>99</v>
      </c>
      <c r="G7" s="8" t="s">
        <v>19</v>
      </c>
      <c r="H7" s="2">
        <v>6</v>
      </c>
      <c r="I7" s="1" t="s">
        <v>17</v>
      </c>
      <c r="J7" s="5" t="s">
        <v>100</v>
      </c>
      <c r="K7" s="5" t="s">
        <v>101</v>
      </c>
      <c r="L7" s="3" t="s">
        <v>82</v>
      </c>
      <c r="M7" s="5" t="s">
        <v>91</v>
      </c>
      <c r="N7" s="3" t="s">
        <v>102</v>
      </c>
      <c r="O7" s="12">
        <v>43554</v>
      </c>
      <c r="P7" s="4">
        <f t="shared" si="0"/>
        <v>44284</v>
      </c>
      <c r="Q7" s="7" t="s">
        <v>40</v>
      </c>
      <c r="R7" s="6" t="str">
        <f>_xlfn.CONCAT(Q7,M7,C7)</f>
        <v>Novateur ElectricalChhattisgarhIshwar Rajput</v>
      </c>
    </row>
    <row r="8" spans="2:18">
      <c r="B8" s="1">
        <v>6</v>
      </c>
      <c r="C8" s="5" t="s">
        <v>87</v>
      </c>
      <c r="D8" s="1" t="s">
        <v>88</v>
      </c>
      <c r="E8" s="1" t="s">
        <v>89</v>
      </c>
      <c r="F8" s="5" t="s">
        <v>99</v>
      </c>
      <c r="G8" s="8" t="s">
        <v>19</v>
      </c>
      <c r="H8" s="2">
        <v>6</v>
      </c>
      <c r="I8" s="1" t="s">
        <v>17</v>
      </c>
      <c r="J8" s="5" t="s">
        <v>100</v>
      </c>
      <c r="K8" s="5" t="s">
        <v>103</v>
      </c>
      <c r="L8" s="3" t="s">
        <v>82</v>
      </c>
      <c r="M8" s="5" t="s">
        <v>91</v>
      </c>
      <c r="N8" s="3" t="s">
        <v>104</v>
      </c>
      <c r="O8" s="12">
        <v>43554</v>
      </c>
      <c r="P8" s="4">
        <f t="shared" si="0"/>
        <v>44284</v>
      </c>
      <c r="Q8" s="7" t="s">
        <v>40</v>
      </c>
      <c r="R8" s="6" t="str">
        <f>_xlfn.CONCAT(Q8,M8,C8)</f>
        <v>Novateur ElectricalChhattisgarhIshwar Rajput</v>
      </c>
    </row>
    <row r="9" spans="2:18">
      <c r="B9" s="1">
        <v>7</v>
      </c>
      <c r="C9" s="5" t="s">
        <v>87</v>
      </c>
      <c r="D9" s="1" t="s">
        <v>88</v>
      </c>
      <c r="E9" s="1" t="s">
        <v>89</v>
      </c>
      <c r="F9" s="5" t="s">
        <v>57</v>
      </c>
      <c r="G9" s="8" t="s">
        <v>19</v>
      </c>
      <c r="H9" s="2">
        <v>3</v>
      </c>
      <c r="I9" s="1" t="s">
        <v>17</v>
      </c>
      <c r="J9" s="5" t="s">
        <v>100</v>
      </c>
      <c r="K9" s="15" t="s">
        <v>105</v>
      </c>
      <c r="L9" s="3" t="s">
        <v>82</v>
      </c>
      <c r="M9" s="5" t="s">
        <v>91</v>
      </c>
      <c r="N9" s="3" t="s">
        <v>106</v>
      </c>
      <c r="O9" s="12">
        <v>43555</v>
      </c>
      <c r="P9" s="4">
        <f t="shared" si="0"/>
        <v>44285</v>
      </c>
      <c r="Q9" s="7" t="s">
        <v>40</v>
      </c>
      <c r="R9" s="6" t="str">
        <f>_xlfn.CONCAT(Q9,M9,C9)</f>
        <v>Novateur ElectricalChhattisgarhIshwar Rajput</v>
      </c>
    </row>
    <row r="10" spans="2:18">
      <c r="B10" s="1">
        <v>8</v>
      </c>
      <c r="C10" s="5" t="s">
        <v>87</v>
      </c>
      <c r="D10" s="1" t="s">
        <v>88</v>
      </c>
      <c r="E10" s="1" t="s">
        <v>89</v>
      </c>
      <c r="F10" s="5" t="s">
        <v>30</v>
      </c>
      <c r="G10" s="1" t="s">
        <v>16</v>
      </c>
      <c r="H10" s="2">
        <v>3</v>
      </c>
      <c r="I10" s="1" t="s">
        <v>17</v>
      </c>
      <c r="J10" s="5" t="s">
        <v>107</v>
      </c>
      <c r="K10" s="15" t="s">
        <v>108</v>
      </c>
      <c r="L10" s="3" t="s">
        <v>82</v>
      </c>
      <c r="M10" s="5" t="s">
        <v>91</v>
      </c>
      <c r="N10" s="3" t="s">
        <v>109</v>
      </c>
      <c r="O10" s="12">
        <v>44820</v>
      </c>
      <c r="P10" s="4">
        <f t="shared" si="0"/>
        <v>45550</v>
      </c>
      <c r="Q10" s="7" t="s">
        <v>40</v>
      </c>
      <c r="R10" s="6" t="str">
        <f>_xlfn.CONCAT(Q10,M10,C10)</f>
        <v>Novateur ElectricalChhattisgarhIshwar Rajput</v>
      </c>
    </row>
    <row r="11" spans="2:18">
      <c r="B11" s="1">
        <v>9</v>
      </c>
      <c r="C11" s="5" t="s">
        <v>87</v>
      </c>
      <c r="D11" s="1" t="s">
        <v>88</v>
      </c>
      <c r="E11" s="1" t="s">
        <v>89</v>
      </c>
      <c r="F11" s="5" t="s">
        <v>61</v>
      </c>
      <c r="G11" s="1" t="s">
        <v>16</v>
      </c>
      <c r="H11" s="2">
        <v>6</v>
      </c>
      <c r="I11" s="1" t="s">
        <v>17</v>
      </c>
      <c r="J11" s="5"/>
      <c r="K11" s="5" t="s">
        <v>108</v>
      </c>
      <c r="L11" s="3" t="s">
        <v>82</v>
      </c>
      <c r="M11" s="5" t="s">
        <v>91</v>
      </c>
      <c r="N11" s="3" t="s">
        <v>109</v>
      </c>
      <c r="O11" s="12">
        <v>44820</v>
      </c>
      <c r="P11" s="4">
        <f t="shared" si="0"/>
        <v>45550</v>
      </c>
      <c r="Q11" s="7" t="s">
        <v>40</v>
      </c>
      <c r="R11" s="6" t="str">
        <f>_xlfn.CONCAT(Q11,M11,C11)</f>
        <v>Novateur ElectricalChhattisgarhIshwar Rajput</v>
      </c>
    </row>
    <row r="12" spans="2:18">
      <c r="B12" s="1">
        <v>10</v>
      </c>
      <c r="C12" s="5" t="s">
        <v>87</v>
      </c>
      <c r="D12" s="1" t="s">
        <v>88</v>
      </c>
      <c r="E12" s="1" t="s">
        <v>89</v>
      </c>
      <c r="F12" s="5" t="s">
        <v>56</v>
      </c>
      <c r="G12" s="8" t="s">
        <v>19</v>
      </c>
      <c r="H12" s="2">
        <v>3</v>
      </c>
      <c r="I12" s="1" t="s">
        <v>17</v>
      </c>
      <c r="J12" s="5"/>
      <c r="K12" s="15" t="s">
        <v>110</v>
      </c>
      <c r="L12" s="3" t="s">
        <v>82</v>
      </c>
      <c r="M12" s="5" t="s">
        <v>91</v>
      </c>
      <c r="N12" s="3" t="s">
        <v>111</v>
      </c>
      <c r="O12" s="12">
        <v>43034</v>
      </c>
      <c r="P12" s="4">
        <f t="shared" si="0"/>
        <v>43764</v>
      </c>
      <c r="Q12" s="7" t="s">
        <v>40</v>
      </c>
      <c r="R12" s="6" t="str">
        <f>_xlfn.CONCAT(Q12,M12,C12)</f>
        <v>Novateur ElectricalChhattisgarhIshwar Rajput</v>
      </c>
    </row>
    <row r="13" spans="2:18">
      <c r="B13" s="1">
        <v>11</v>
      </c>
      <c r="C13" s="5" t="s">
        <v>87</v>
      </c>
      <c r="D13" s="1" t="s">
        <v>88</v>
      </c>
      <c r="E13" s="1" t="s">
        <v>89</v>
      </c>
      <c r="F13" s="5" t="s">
        <v>33</v>
      </c>
      <c r="G13" s="3" t="s">
        <v>34</v>
      </c>
      <c r="H13" s="2">
        <v>3</v>
      </c>
      <c r="I13" s="1" t="s">
        <v>17</v>
      </c>
      <c r="J13" s="5"/>
      <c r="K13" s="5" t="s">
        <v>112</v>
      </c>
      <c r="L13" s="3" t="s">
        <v>82</v>
      </c>
      <c r="M13" s="5" t="s">
        <v>91</v>
      </c>
      <c r="N13" s="3" t="s">
        <v>113</v>
      </c>
      <c r="O13" s="12">
        <v>45206</v>
      </c>
      <c r="P13" s="4">
        <f t="shared" si="0"/>
        <v>45936</v>
      </c>
      <c r="Q13" s="9" t="s">
        <v>34</v>
      </c>
      <c r="R13" s="6" t="str">
        <f>_xlfn.CONCAT(Q13,M13,C13)</f>
        <v>Fuji ElectricChhattisgarhIshwar Rajput</v>
      </c>
    </row>
    <row r="14" spans="2:18">
      <c r="B14" s="1">
        <v>12</v>
      </c>
      <c r="C14" s="5" t="s">
        <v>87</v>
      </c>
      <c r="D14" s="1" t="s">
        <v>88</v>
      </c>
      <c r="E14" s="1" t="s">
        <v>89</v>
      </c>
      <c r="F14" s="5" t="s">
        <v>99</v>
      </c>
      <c r="G14" s="8" t="s">
        <v>19</v>
      </c>
      <c r="H14" s="2">
        <v>6</v>
      </c>
      <c r="I14" s="1" t="s">
        <v>17</v>
      </c>
      <c r="J14" s="5"/>
      <c r="K14" s="5" t="s">
        <v>114</v>
      </c>
      <c r="L14" s="3" t="s">
        <v>82</v>
      </c>
      <c r="M14" s="5" t="s">
        <v>91</v>
      </c>
      <c r="N14" s="3" t="s">
        <v>115</v>
      </c>
      <c r="O14" s="12">
        <v>43554</v>
      </c>
      <c r="P14" s="4">
        <f t="shared" si="0"/>
        <v>44284</v>
      </c>
      <c r="Q14" s="7" t="s">
        <v>40</v>
      </c>
      <c r="R14" s="6" t="str">
        <f>_xlfn.CONCAT(Q14,M14,C14)</f>
        <v>Novateur ElectricalChhattisgarhIshwar Rajput</v>
      </c>
    </row>
    <row r="15" spans="2:18">
      <c r="B15" s="1">
        <v>13</v>
      </c>
      <c r="C15" s="5" t="s">
        <v>87</v>
      </c>
      <c r="D15" s="1" t="s">
        <v>88</v>
      </c>
      <c r="E15" s="1" t="s">
        <v>89</v>
      </c>
      <c r="F15" s="5" t="s">
        <v>18</v>
      </c>
      <c r="G15" s="8" t="s">
        <v>19</v>
      </c>
      <c r="H15" s="2">
        <v>3</v>
      </c>
      <c r="I15" s="1" t="s">
        <v>17</v>
      </c>
      <c r="J15" s="5"/>
      <c r="K15" s="15" t="s">
        <v>116</v>
      </c>
      <c r="L15" s="3" t="s">
        <v>82</v>
      </c>
      <c r="M15" s="5" t="s">
        <v>91</v>
      </c>
      <c r="N15" s="3" t="s">
        <v>117</v>
      </c>
      <c r="O15" s="12">
        <v>43456</v>
      </c>
      <c r="P15" s="4">
        <f t="shared" si="0"/>
        <v>44186</v>
      </c>
      <c r="Q15" s="7" t="s">
        <v>40</v>
      </c>
      <c r="R15" s="6" t="str">
        <f>_xlfn.CONCAT(Q15,M15,C15)</f>
        <v>Novateur ElectricalChhattisgarhIshwar Rajput</v>
      </c>
    </row>
    <row r="16" spans="2:18">
      <c r="B16" s="1">
        <v>14</v>
      </c>
      <c r="C16" s="5" t="s">
        <v>87</v>
      </c>
      <c r="D16" s="1" t="s">
        <v>88</v>
      </c>
      <c r="E16" s="1" t="s">
        <v>89</v>
      </c>
      <c r="F16" s="5" t="s">
        <v>31</v>
      </c>
      <c r="G16" s="8" t="s">
        <v>19</v>
      </c>
      <c r="H16" s="2">
        <v>3</v>
      </c>
      <c r="I16" s="1" t="s">
        <v>17</v>
      </c>
      <c r="J16" s="5"/>
      <c r="K16" s="15" t="s">
        <v>118</v>
      </c>
      <c r="L16" s="3" t="s">
        <v>82</v>
      </c>
      <c r="M16" s="5" t="s">
        <v>91</v>
      </c>
      <c r="N16" s="3" t="s">
        <v>119</v>
      </c>
      <c r="O16" s="12">
        <v>43555</v>
      </c>
      <c r="P16" s="4">
        <f t="shared" si="0"/>
        <v>44285</v>
      </c>
      <c r="Q16" s="7" t="s">
        <v>40</v>
      </c>
      <c r="R16" s="6" t="str">
        <f>_xlfn.CONCAT(Q16,M16,C16)</f>
        <v>Novateur ElectricalChhattisgarhIshwar Rajput</v>
      </c>
    </row>
    <row r="17" spans="2:18">
      <c r="B17" s="1">
        <v>15</v>
      </c>
      <c r="C17" s="5" t="s">
        <v>87</v>
      </c>
      <c r="D17" s="1" t="s">
        <v>88</v>
      </c>
      <c r="E17" s="1" t="s">
        <v>89</v>
      </c>
      <c r="F17" s="5" t="s">
        <v>61</v>
      </c>
      <c r="G17" s="1" t="s">
        <v>16</v>
      </c>
      <c r="H17" s="2">
        <v>6</v>
      </c>
      <c r="I17" s="1" t="s">
        <v>17</v>
      </c>
      <c r="J17" s="5"/>
      <c r="K17" s="5" t="s">
        <v>120</v>
      </c>
      <c r="L17" s="3" t="s">
        <v>82</v>
      </c>
      <c r="M17" s="5" t="s">
        <v>91</v>
      </c>
      <c r="N17" s="3" t="s">
        <v>121</v>
      </c>
      <c r="O17" s="12">
        <v>44790</v>
      </c>
      <c r="P17" s="4">
        <f t="shared" si="0"/>
        <v>45520</v>
      </c>
      <c r="Q17" s="7" t="s">
        <v>40</v>
      </c>
      <c r="R17" s="6" t="str">
        <f>_xlfn.CONCAT(Q17,M17,C17)</f>
        <v>Novateur ElectricalChhattisgarhIshwar Rajput</v>
      </c>
    </row>
    <row r="18" spans="2:18">
      <c r="B18" s="1">
        <v>16</v>
      </c>
      <c r="C18" s="5" t="s">
        <v>87</v>
      </c>
      <c r="D18" s="1" t="s">
        <v>88</v>
      </c>
      <c r="E18" s="1" t="s">
        <v>89</v>
      </c>
      <c r="F18" s="5" t="s">
        <v>36</v>
      </c>
      <c r="G18" s="10" t="s">
        <v>37</v>
      </c>
      <c r="H18" s="2">
        <v>6</v>
      </c>
      <c r="I18" s="1" t="s">
        <v>17</v>
      </c>
      <c r="J18" s="5"/>
      <c r="K18" s="5" t="s">
        <v>122</v>
      </c>
      <c r="L18" s="3" t="s">
        <v>82</v>
      </c>
      <c r="M18" s="5" t="s">
        <v>91</v>
      </c>
      <c r="N18" s="3" t="s">
        <v>123</v>
      </c>
      <c r="O18" s="12">
        <v>45080</v>
      </c>
      <c r="P18" s="4">
        <f t="shared" si="0"/>
        <v>45810</v>
      </c>
      <c r="Q18" s="7" t="s">
        <v>40</v>
      </c>
      <c r="R18" s="6" t="str">
        <f>_xlfn.CONCAT(Q18,M18,C18)</f>
        <v>Novateur ElectricalChhattisgarhIshwar Rajput</v>
      </c>
    </row>
    <row r="19" spans="2:18">
      <c r="B19" s="1">
        <v>17</v>
      </c>
      <c r="C19" s="5" t="s">
        <v>87</v>
      </c>
      <c r="D19" s="1" t="s">
        <v>88</v>
      </c>
      <c r="E19" s="1" t="s">
        <v>89</v>
      </c>
      <c r="F19" s="5" t="s">
        <v>18</v>
      </c>
      <c r="G19" s="8" t="s">
        <v>19</v>
      </c>
      <c r="H19" s="2">
        <v>3</v>
      </c>
      <c r="I19" s="1" t="s">
        <v>17</v>
      </c>
      <c r="J19" s="5"/>
      <c r="K19" s="15" t="s">
        <v>124</v>
      </c>
      <c r="L19" s="3" t="s">
        <v>82</v>
      </c>
      <c r="M19" s="5" t="s">
        <v>91</v>
      </c>
      <c r="N19" s="3" t="s">
        <v>125</v>
      </c>
      <c r="O19" s="12">
        <v>43439</v>
      </c>
      <c r="P19" s="4">
        <f t="shared" si="0"/>
        <v>44169</v>
      </c>
      <c r="Q19" s="7" t="s">
        <v>40</v>
      </c>
      <c r="R19" s="6" t="str">
        <f>_xlfn.CONCAT(Q19,M19,C19)</f>
        <v>Novateur ElectricalChhattisgarhIshwar Rajput</v>
      </c>
    </row>
    <row r="20" spans="2:18">
      <c r="B20" s="1">
        <v>18</v>
      </c>
      <c r="C20" s="5" t="s">
        <v>87</v>
      </c>
      <c r="D20" s="1" t="s">
        <v>88</v>
      </c>
      <c r="E20" s="1" t="s">
        <v>89</v>
      </c>
      <c r="F20" s="5" t="s">
        <v>99</v>
      </c>
      <c r="G20" s="8" t="s">
        <v>19</v>
      </c>
      <c r="H20" s="2">
        <v>6</v>
      </c>
      <c r="I20" s="1" t="s">
        <v>17</v>
      </c>
      <c r="J20" s="5"/>
      <c r="K20" s="5" t="s">
        <v>126</v>
      </c>
      <c r="L20" s="3" t="s">
        <v>82</v>
      </c>
      <c r="M20" s="5" t="s">
        <v>91</v>
      </c>
      <c r="N20" s="3" t="s">
        <v>127</v>
      </c>
      <c r="O20" s="12">
        <v>43554</v>
      </c>
      <c r="P20" s="4">
        <f t="shared" si="0"/>
        <v>44284</v>
      </c>
      <c r="Q20" s="7" t="s">
        <v>40</v>
      </c>
      <c r="R20" s="6" t="str">
        <f>_xlfn.CONCAT(Q20,M20,C20)</f>
        <v>Novateur ElectricalChhattisgarhIshwar Rajput</v>
      </c>
    </row>
    <row r="21" spans="2:18">
      <c r="B21" s="1">
        <v>19</v>
      </c>
      <c r="C21" s="5" t="s">
        <v>87</v>
      </c>
      <c r="D21" s="1" t="s">
        <v>88</v>
      </c>
      <c r="E21" s="1" t="s">
        <v>89</v>
      </c>
      <c r="F21" s="5" t="s">
        <v>18</v>
      </c>
      <c r="G21" s="8" t="s">
        <v>19</v>
      </c>
      <c r="H21" s="2">
        <v>3</v>
      </c>
      <c r="I21" s="1" t="s">
        <v>17</v>
      </c>
      <c r="J21" s="5"/>
      <c r="K21" s="5" t="s">
        <v>128</v>
      </c>
      <c r="L21" s="3" t="s">
        <v>82</v>
      </c>
      <c r="M21" s="5" t="s">
        <v>91</v>
      </c>
      <c r="N21" s="3" t="s">
        <v>129</v>
      </c>
      <c r="O21" s="12">
        <v>43880</v>
      </c>
      <c r="P21" s="4">
        <f t="shared" si="0"/>
        <v>44610</v>
      </c>
      <c r="Q21" s="7" t="s">
        <v>40</v>
      </c>
      <c r="R21" s="6" t="str">
        <f>_xlfn.CONCAT(Q21,M21,C21)</f>
        <v>Novateur ElectricalChhattisgarhIshwar Rajput</v>
      </c>
    </row>
    <row r="22" spans="2:18">
      <c r="B22" s="1">
        <v>20</v>
      </c>
      <c r="C22" s="5" t="s">
        <v>130</v>
      </c>
      <c r="D22" s="1" t="s">
        <v>131</v>
      </c>
      <c r="E22" s="1" t="s">
        <v>132</v>
      </c>
      <c r="F22" s="5" t="s">
        <v>32</v>
      </c>
      <c r="G22" s="1" t="s">
        <v>16</v>
      </c>
      <c r="H22" s="2">
        <v>3</v>
      </c>
      <c r="I22" s="1" t="s">
        <v>17</v>
      </c>
      <c r="J22" s="11" t="s">
        <v>133</v>
      </c>
      <c r="K22" s="5" t="s">
        <v>134</v>
      </c>
      <c r="L22" s="3" t="s">
        <v>82</v>
      </c>
      <c r="M22" s="5" t="s">
        <v>135</v>
      </c>
      <c r="N22" s="3" t="s">
        <v>136</v>
      </c>
      <c r="O22" s="12">
        <v>43555</v>
      </c>
      <c r="P22" s="4">
        <f t="shared" si="0"/>
        <v>44285</v>
      </c>
      <c r="Q22" s="7" t="s">
        <v>40</v>
      </c>
      <c r="R22" s="6" t="str">
        <f>_xlfn.CONCAT(Q22,M22,C22)</f>
        <v>Novateur ElectricalAndhra PradeshNikhil Joshi</v>
      </c>
    </row>
    <row r="23" spans="2:18">
      <c r="B23" s="1">
        <v>21</v>
      </c>
      <c r="C23" s="5" t="s">
        <v>130</v>
      </c>
      <c r="D23" s="1" t="s">
        <v>131</v>
      </c>
      <c r="E23" s="1" t="s">
        <v>132</v>
      </c>
      <c r="F23" s="5" t="s">
        <v>22</v>
      </c>
      <c r="G23" s="1" t="s">
        <v>16</v>
      </c>
      <c r="H23" s="2">
        <v>6</v>
      </c>
      <c r="I23" s="1" t="s">
        <v>17</v>
      </c>
      <c r="J23" s="11" t="s">
        <v>26</v>
      </c>
      <c r="K23" s="5" t="s">
        <v>134</v>
      </c>
      <c r="L23" s="3" t="s">
        <v>82</v>
      </c>
      <c r="M23" s="5" t="s">
        <v>135</v>
      </c>
      <c r="N23" s="3" t="s">
        <v>136</v>
      </c>
      <c r="O23" s="12">
        <v>43503</v>
      </c>
      <c r="P23" s="4">
        <f t="shared" si="0"/>
        <v>44233</v>
      </c>
      <c r="Q23" s="7" t="s">
        <v>40</v>
      </c>
      <c r="R23" s="6" t="str">
        <f>_xlfn.CONCAT(Q23,M23,C23)</f>
        <v>Novateur ElectricalAndhra PradeshNikhil Joshi</v>
      </c>
    </row>
    <row r="24" spans="2:18">
      <c r="B24" s="1">
        <v>22</v>
      </c>
      <c r="C24" s="5" t="s">
        <v>130</v>
      </c>
      <c r="D24" s="1" t="s">
        <v>131</v>
      </c>
      <c r="E24" s="1" t="s">
        <v>132</v>
      </c>
      <c r="F24" s="5" t="s">
        <v>32</v>
      </c>
      <c r="G24" s="1" t="s">
        <v>16</v>
      </c>
      <c r="H24" s="2">
        <v>3</v>
      </c>
      <c r="I24" s="1" t="s">
        <v>17</v>
      </c>
      <c r="J24" s="11" t="s">
        <v>133</v>
      </c>
      <c r="K24" s="5" t="s">
        <v>137</v>
      </c>
      <c r="L24" s="3" t="s">
        <v>82</v>
      </c>
      <c r="M24" s="5" t="s">
        <v>135</v>
      </c>
      <c r="N24" s="3" t="s">
        <v>138</v>
      </c>
      <c r="O24" s="12">
        <v>43555</v>
      </c>
      <c r="P24" s="4">
        <f t="shared" si="0"/>
        <v>44285</v>
      </c>
      <c r="Q24" s="7" t="s">
        <v>40</v>
      </c>
      <c r="R24" s="6" t="str">
        <f>_xlfn.CONCAT(Q24,M24,C24)</f>
        <v>Novateur ElectricalAndhra PradeshNikhil Joshi</v>
      </c>
    </row>
    <row r="25" spans="2:18">
      <c r="B25" s="1">
        <v>23</v>
      </c>
      <c r="C25" s="5" t="s">
        <v>130</v>
      </c>
      <c r="D25" s="1" t="s">
        <v>131</v>
      </c>
      <c r="E25" s="1" t="s">
        <v>132</v>
      </c>
      <c r="F25" s="5" t="s">
        <v>22</v>
      </c>
      <c r="G25" s="1" t="s">
        <v>16</v>
      </c>
      <c r="H25" s="2">
        <v>6</v>
      </c>
      <c r="I25" s="1" t="s">
        <v>17</v>
      </c>
      <c r="J25" s="11" t="s">
        <v>26</v>
      </c>
      <c r="K25" s="5" t="s">
        <v>137</v>
      </c>
      <c r="L25" s="3" t="s">
        <v>82</v>
      </c>
      <c r="M25" s="5" t="s">
        <v>135</v>
      </c>
      <c r="N25" s="3" t="s">
        <v>138</v>
      </c>
      <c r="O25" s="12">
        <v>43703</v>
      </c>
      <c r="P25" s="4">
        <f t="shared" si="0"/>
        <v>44433</v>
      </c>
      <c r="Q25" s="7" t="s">
        <v>40</v>
      </c>
      <c r="R25" s="6" t="str">
        <f>_xlfn.CONCAT(Q25,M25,C25)</f>
        <v>Novateur ElectricalAndhra PradeshNikhil Joshi</v>
      </c>
    </row>
    <row r="26" spans="2:18">
      <c r="B26" s="1">
        <v>24</v>
      </c>
      <c r="C26" s="5" t="s">
        <v>130</v>
      </c>
      <c r="D26" s="1" t="s">
        <v>131</v>
      </c>
      <c r="E26" s="1" t="s">
        <v>132</v>
      </c>
      <c r="F26" s="5" t="s">
        <v>47</v>
      </c>
      <c r="G26" s="3" t="s">
        <v>24</v>
      </c>
      <c r="H26" s="2">
        <v>6</v>
      </c>
      <c r="I26" s="1" t="s">
        <v>17</v>
      </c>
      <c r="J26" s="11" t="s">
        <v>26</v>
      </c>
      <c r="K26" s="5" t="s">
        <v>139</v>
      </c>
      <c r="L26" s="3" t="s">
        <v>82</v>
      </c>
      <c r="M26" s="5" t="s">
        <v>135</v>
      </c>
      <c r="N26" s="3" t="s">
        <v>140</v>
      </c>
      <c r="O26" s="12">
        <v>45232</v>
      </c>
      <c r="P26" s="4">
        <f t="shared" si="0"/>
        <v>45962</v>
      </c>
      <c r="Q26" s="7" t="s">
        <v>45</v>
      </c>
      <c r="R26" s="6" t="str">
        <f>_xlfn.CONCAT(Q26,M26,C26)</f>
        <v>Best PowerAndhra PradeshNikhil Joshi</v>
      </c>
    </row>
    <row r="27" spans="2:18">
      <c r="B27" s="1">
        <v>25</v>
      </c>
      <c r="C27" s="5" t="s">
        <v>130</v>
      </c>
      <c r="D27" s="1" t="s">
        <v>131</v>
      </c>
      <c r="E27" s="1" t="s">
        <v>132</v>
      </c>
      <c r="F27" s="5" t="s">
        <v>63</v>
      </c>
      <c r="G27" s="1" t="s">
        <v>16</v>
      </c>
      <c r="H27" s="2">
        <v>10</v>
      </c>
      <c r="I27" s="1" t="s">
        <v>17</v>
      </c>
      <c r="J27" s="11" t="s">
        <v>53</v>
      </c>
      <c r="K27" s="5" t="s">
        <v>141</v>
      </c>
      <c r="L27" s="3" t="s">
        <v>82</v>
      </c>
      <c r="M27" s="5" t="s">
        <v>135</v>
      </c>
      <c r="N27" s="3" t="s">
        <v>142</v>
      </c>
      <c r="O27" s="12">
        <v>43389</v>
      </c>
      <c r="P27" s="4">
        <f t="shared" si="0"/>
        <v>44119</v>
      </c>
      <c r="Q27" s="7" t="s">
        <v>40</v>
      </c>
      <c r="R27" s="6" t="str">
        <f>_xlfn.CONCAT(Q27,M27,C27)</f>
        <v>Novateur ElectricalAndhra PradeshNikhil Joshi</v>
      </c>
    </row>
    <row r="28" spans="2:18">
      <c r="B28" s="1">
        <v>26</v>
      </c>
      <c r="C28" s="5" t="s">
        <v>130</v>
      </c>
      <c r="D28" s="1" t="s">
        <v>131</v>
      </c>
      <c r="E28" s="1" t="s">
        <v>132</v>
      </c>
      <c r="F28" s="5" t="s">
        <v>61</v>
      </c>
      <c r="G28" s="1" t="s">
        <v>16</v>
      </c>
      <c r="H28" s="2">
        <v>6</v>
      </c>
      <c r="I28" s="1" t="s">
        <v>17</v>
      </c>
      <c r="J28" s="11" t="s">
        <v>26</v>
      </c>
      <c r="K28" s="5" t="s">
        <v>141</v>
      </c>
      <c r="L28" s="3" t="s">
        <v>82</v>
      </c>
      <c r="M28" s="5" t="s">
        <v>135</v>
      </c>
      <c r="N28" s="3" t="s">
        <v>142</v>
      </c>
      <c r="O28" s="12">
        <v>41799</v>
      </c>
      <c r="P28" s="4">
        <f t="shared" si="0"/>
        <v>42529</v>
      </c>
      <c r="Q28" s="7" t="s">
        <v>40</v>
      </c>
      <c r="R28" s="6" t="str">
        <f>_xlfn.CONCAT(Q28,M28,C28)</f>
        <v>Novateur ElectricalAndhra PradeshNikhil Joshi</v>
      </c>
    </row>
    <row r="29" spans="2:18">
      <c r="B29" s="1">
        <v>27</v>
      </c>
      <c r="C29" s="5" t="s">
        <v>130</v>
      </c>
      <c r="D29" s="1" t="s">
        <v>131</v>
      </c>
      <c r="E29" s="1" t="s">
        <v>132</v>
      </c>
      <c r="F29" s="5" t="s">
        <v>61</v>
      </c>
      <c r="G29" s="1" t="s">
        <v>16</v>
      </c>
      <c r="H29" s="2">
        <v>6</v>
      </c>
      <c r="I29" s="1" t="s">
        <v>17</v>
      </c>
      <c r="J29" s="11" t="s">
        <v>26</v>
      </c>
      <c r="K29" s="5" t="s">
        <v>143</v>
      </c>
      <c r="L29" s="3" t="s">
        <v>82</v>
      </c>
      <c r="M29" s="5" t="s">
        <v>135</v>
      </c>
      <c r="N29" s="3" t="s">
        <v>144</v>
      </c>
      <c r="O29" s="12">
        <v>44806</v>
      </c>
      <c r="P29" s="4">
        <f t="shared" si="0"/>
        <v>45536</v>
      </c>
      <c r="Q29" s="7" t="s">
        <v>40</v>
      </c>
      <c r="R29" s="6" t="str">
        <f>_xlfn.CONCAT(Q29,M29,C29)</f>
        <v>Novateur ElectricalAndhra PradeshNikhil Joshi</v>
      </c>
    </row>
    <row r="30" spans="2:18">
      <c r="B30" s="1">
        <v>28</v>
      </c>
      <c r="C30" s="5" t="s">
        <v>130</v>
      </c>
      <c r="D30" s="1" t="s">
        <v>131</v>
      </c>
      <c r="E30" s="1" t="s">
        <v>132</v>
      </c>
      <c r="F30" s="5" t="s">
        <v>32</v>
      </c>
      <c r="G30" s="1" t="s">
        <v>16</v>
      </c>
      <c r="H30" s="2">
        <v>3</v>
      </c>
      <c r="I30" s="1" t="s">
        <v>17</v>
      </c>
      <c r="J30" s="11" t="s">
        <v>133</v>
      </c>
      <c r="K30" s="5" t="s">
        <v>145</v>
      </c>
      <c r="L30" s="3" t="s">
        <v>82</v>
      </c>
      <c r="M30" s="5" t="s">
        <v>135</v>
      </c>
      <c r="N30" s="3" t="s">
        <v>146</v>
      </c>
      <c r="O30" s="12">
        <v>43555</v>
      </c>
      <c r="P30" s="4">
        <f t="shared" si="0"/>
        <v>44285</v>
      </c>
      <c r="Q30" s="7" t="s">
        <v>40</v>
      </c>
      <c r="R30" s="6" t="str">
        <f>_xlfn.CONCAT(Q30,M30,C30)</f>
        <v>Novateur ElectricalAndhra PradeshNikhil Joshi</v>
      </c>
    </row>
    <row r="31" spans="2:18">
      <c r="B31" s="1">
        <v>29</v>
      </c>
      <c r="C31" s="5" t="s">
        <v>130</v>
      </c>
      <c r="D31" s="1" t="s">
        <v>131</v>
      </c>
      <c r="E31" s="1" t="s">
        <v>132</v>
      </c>
      <c r="F31" s="5" t="s">
        <v>22</v>
      </c>
      <c r="G31" s="1" t="s">
        <v>16</v>
      </c>
      <c r="H31" s="2">
        <v>6</v>
      </c>
      <c r="I31" s="1" t="s">
        <v>17</v>
      </c>
      <c r="J31" s="11" t="s">
        <v>26</v>
      </c>
      <c r="K31" s="5" t="s">
        <v>145</v>
      </c>
      <c r="L31" s="3" t="s">
        <v>82</v>
      </c>
      <c r="M31" s="5" t="s">
        <v>135</v>
      </c>
      <c r="N31" s="3" t="s">
        <v>146</v>
      </c>
      <c r="O31" s="12">
        <v>43483</v>
      </c>
      <c r="P31" s="4">
        <f t="shared" si="0"/>
        <v>44213</v>
      </c>
      <c r="Q31" s="7" t="s">
        <v>40</v>
      </c>
      <c r="R31" s="6" t="str">
        <f>_xlfn.CONCAT(Q31,M31,C31)</f>
        <v>Novateur ElectricalAndhra PradeshNikhil Joshi</v>
      </c>
    </row>
    <row r="32" spans="2:18">
      <c r="B32" s="1">
        <v>30</v>
      </c>
      <c r="C32" s="5" t="s">
        <v>130</v>
      </c>
      <c r="D32" s="1" t="s">
        <v>131</v>
      </c>
      <c r="E32" s="1" t="s">
        <v>132</v>
      </c>
      <c r="F32" s="5" t="s">
        <v>57</v>
      </c>
      <c r="G32" s="8" t="s">
        <v>19</v>
      </c>
      <c r="H32" s="2">
        <v>3</v>
      </c>
      <c r="I32" s="1" t="s">
        <v>17</v>
      </c>
      <c r="J32" s="11" t="s">
        <v>133</v>
      </c>
      <c r="K32" s="5" t="s">
        <v>147</v>
      </c>
      <c r="L32" s="3" t="s">
        <v>82</v>
      </c>
      <c r="M32" s="5" t="s">
        <v>135</v>
      </c>
      <c r="N32" s="3" t="s">
        <v>148</v>
      </c>
      <c r="O32" s="12">
        <v>42855</v>
      </c>
      <c r="P32" s="4">
        <f t="shared" si="0"/>
        <v>43585</v>
      </c>
      <c r="Q32" s="7" t="s">
        <v>40</v>
      </c>
      <c r="R32" s="6" t="str">
        <f>_xlfn.CONCAT(Q32,M32,C32)</f>
        <v>Novateur ElectricalAndhra PradeshNikhil Joshi</v>
      </c>
    </row>
    <row r="33" spans="2:18">
      <c r="B33" s="1">
        <v>31</v>
      </c>
      <c r="C33" s="5" t="s">
        <v>130</v>
      </c>
      <c r="D33" s="1" t="s">
        <v>131</v>
      </c>
      <c r="E33" s="1" t="s">
        <v>132</v>
      </c>
      <c r="F33" s="5" t="s">
        <v>44</v>
      </c>
      <c r="G33" s="8" t="s">
        <v>19</v>
      </c>
      <c r="H33" s="2">
        <v>3</v>
      </c>
      <c r="I33" s="1" t="s">
        <v>17</v>
      </c>
      <c r="J33" s="11" t="s">
        <v>133</v>
      </c>
      <c r="K33" s="5" t="s">
        <v>149</v>
      </c>
      <c r="L33" s="3" t="s">
        <v>82</v>
      </c>
      <c r="M33" s="5" t="s">
        <v>135</v>
      </c>
      <c r="N33" s="3" t="s">
        <v>150</v>
      </c>
      <c r="O33" s="12">
        <v>43190</v>
      </c>
      <c r="P33" s="4">
        <f t="shared" si="0"/>
        <v>43920</v>
      </c>
      <c r="Q33" s="7" t="s">
        <v>40</v>
      </c>
      <c r="R33" s="6" t="str">
        <f>_xlfn.CONCAT(Q33,M33,C33)</f>
        <v>Novateur ElectricalAndhra PradeshNikhil Joshi</v>
      </c>
    </row>
    <row r="34" spans="2:18">
      <c r="B34" s="1">
        <v>32</v>
      </c>
      <c r="C34" s="5" t="s">
        <v>130</v>
      </c>
      <c r="D34" s="1" t="s">
        <v>131</v>
      </c>
      <c r="E34" s="1" t="s">
        <v>132</v>
      </c>
      <c r="F34" s="5" t="s">
        <v>38</v>
      </c>
      <c r="G34" s="1" t="s">
        <v>16</v>
      </c>
      <c r="H34" s="2">
        <v>3</v>
      </c>
      <c r="I34" s="1" t="s">
        <v>17</v>
      </c>
      <c r="J34" s="11" t="s">
        <v>80</v>
      </c>
      <c r="K34" s="5" t="s">
        <v>151</v>
      </c>
      <c r="L34" s="3" t="s">
        <v>82</v>
      </c>
      <c r="M34" s="5" t="s">
        <v>135</v>
      </c>
      <c r="N34" s="3" t="s">
        <v>152</v>
      </c>
      <c r="O34" s="12">
        <v>45198</v>
      </c>
      <c r="P34" s="4">
        <f t="shared" si="0"/>
        <v>45928</v>
      </c>
      <c r="Q34" s="7" t="s">
        <v>40</v>
      </c>
      <c r="R34" s="6" t="str">
        <f>_xlfn.CONCAT(Q34,M34,C34)</f>
        <v>Novateur ElectricalAndhra PradeshNikhil Joshi</v>
      </c>
    </row>
    <row r="35" spans="2:18">
      <c r="B35" s="1">
        <v>33</v>
      </c>
      <c r="C35" s="5" t="s">
        <v>130</v>
      </c>
      <c r="D35" s="1" t="s">
        <v>131</v>
      </c>
      <c r="E35" s="1" t="s">
        <v>132</v>
      </c>
      <c r="F35" s="5" t="s">
        <v>49</v>
      </c>
      <c r="G35" s="8" t="s">
        <v>19</v>
      </c>
      <c r="H35" s="2">
        <v>3</v>
      </c>
      <c r="I35" s="1" t="s">
        <v>17</v>
      </c>
      <c r="J35" s="11" t="s">
        <v>153</v>
      </c>
      <c r="K35" s="5" t="s">
        <v>154</v>
      </c>
      <c r="L35" s="3" t="s">
        <v>82</v>
      </c>
      <c r="M35" s="5" t="s">
        <v>135</v>
      </c>
      <c r="N35" s="3" t="s">
        <v>155</v>
      </c>
      <c r="O35" s="12">
        <v>44698</v>
      </c>
      <c r="P35" s="4">
        <f t="shared" si="0"/>
        <v>45428</v>
      </c>
      <c r="Q35" s="7" t="s">
        <v>40</v>
      </c>
      <c r="R35" s="6" t="str">
        <f>_xlfn.CONCAT(Q35,M35,C35)</f>
        <v>Novateur ElectricalAndhra PradeshNikhil Joshi</v>
      </c>
    </row>
    <row r="36" spans="2:18">
      <c r="B36" s="1">
        <v>34</v>
      </c>
      <c r="C36" s="5" t="s">
        <v>130</v>
      </c>
      <c r="D36" s="1" t="s">
        <v>131</v>
      </c>
      <c r="E36" s="1" t="s">
        <v>132</v>
      </c>
      <c r="F36" s="5" t="s">
        <v>32</v>
      </c>
      <c r="G36" s="1" t="s">
        <v>16</v>
      </c>
      <c r="H36" s="2">
        <v>3</v>
      </c>
      <c r="I36" s="1" t="s">
        <v>17</v>
      </c>
      <c r="J36" s="11" t="s">
        <v>133</v>
      </c>
      <c r="K36" s="5" t="s">
        <v>156</v>
      </c>
      <c r="L36" s="3" t="s">
        <v>82</v>
      </c>
      <c r="M36" s="5" t="s">
        <v>135</v>
      </c>
      <c r="N36" s="3" t="s">
        <v>157</v>
      </c>
      <c r="O36" s="12">
        <v>43555</v>
      </c>
      <c r="P36" s="4">
        <f t="shared" si="0"/>
        <v>44285</v>
      </c>
      <c r="Q36" s="7" t="s">
        <v>40</v>
      </c>
      <c r="R36" s="6" t="str">
        <f>_xlfn.CONCAT(Q36,M36,C36)</f>
        <v>Novateur ElectricalAndhra PradeshNikhil Joshi</v>
      </c>
    </row>
    <row r="37" spans="2:18">
      <c r="B37" s="1">
        <v>35</v>
      </c>
      <c r="C37" s="5" t="s">
        <v>130</v>
      </c>
      <c r="D37" s="1" t="s">
        <v>131</v>
      </c>
      <c r="E37" s="1" t="s">
        <v>132</v>
      </c>
      <c r="F37" s="5" t="s">
        <v>22</v>
      </c>
      <c r="G37" s="1" t="s">
        <v>16</v>
      </c>
      <c r="H37" s="2">
        <v>6</v>
      </c>
      <c r="I37" s="1" t="s">
        <v>17</v>
      </c>
      <c r="J37" s="11" t="s">
        <v>26</v>
      </c>
      <c r="K37" s="5" t="s">
        <v>156</v>
      </c>
      <c r="L37" s="3" t="s">
        <v>82</v>
      </c>
      <c r="M37" s="5" t="s">
        <v>135</v>
      </c>
      <c r="N37" s="3" t="s">
        <v>157</v>
      </c>
      <c r="O37" s="12">
        <v>43555</v>
      </c>
      <c r="P37" s="4">
        <f t="shared" si="0"/>
        <v>44285</v>
      </c>
      <c r="Q37" s="7" t="s">
        <v>40</v>
      </c>
      <c r="R37" s="6" t="str">
        <f>_xlfn.CONCAT(Q37,M37,C37)</f>
        <v>Novateur ElectricalAndhra PradeshNikhil Joshi</v>
      </c>
    </row>
    <row r="38" spans="2:18">
      <c r="B38" s="1">
        <v>36</v>
      </c>
      <c r="C38" s="5" t="s">
        <v>130</v>
      </c>
      <c r="D38" s="1" t="s">
        <v>131</v>
      </c>
      <c r="E38" s="1" t="s">
        <v>132</v>
      </c>
      <c r="F38" s="5" t="s">
        <v>32</v>
      </c>
      <c r="G38" s="1" t="s">
        <v>16</v>
      </c>
      <c r="H38" s="2">
        <v>3</v>
      </c>
      <c r="I38" s="1" t="s">
        <v>17</v>
      </c>
      <c r="J38" s="11" t="s">
        <v>133</v>
      </c>
      <c r="K38" s="5" t="s">
        <v>158</v>
      </c>
      <c r="L38" s="3" t="s">
        <v>82</v>
      </c>
      <c r="M38" s="5" t="s">
        <v>135</v>
      </c>
      <c r="N38" s="3" t="s">
        <v>159</v>
      </c>
      <c r="O38" s="12">
        <v>43555</v>
      </c>
      <c r="P38" s="4">
        <f t="shared" si="0"/>
        <v>44285</v>
      </c>
      <c r="Q38" s="7" t="s">
        <v>40</v>
      </c>
      <c r="R38" s="6" t="str">
        <f>_xlfn.CONCAT(Q38,M38,C38)</f>
        <v>Novateur ElectricalAndhra PradeshNikhil Joshi</v>
      </c>
    </row>
    <row r="39" spans="2:18">
      <c r="B39" s="1">
        <v>37</v>
      </c>
      <c r="C39" s="5" t="s">
        <v>130</v>
      </c>
      <c r="D39" s="1" t="s">
        <v>131</v>
      </c>
      <c r="E39" s="1" t="s">
        <v>132</v>
      </c>
      <c r="F39" s="5" t="s">
        <v>22</v>
      </c>
      <c r="G39" s="1" t="s">
        <v>16</v>
      </c>
      <c r="H39" s="2">
        <v>6</v>
      </c>
      <c r="I39" s="1" t="s">
        <v>17</v>
      </c>
      <c r="J39" s="11" t="s">
        <v>26</v>
      </c>
      <c r="K39" s="5" t="s">
        <v>158</v>
      </c>
      <c r="L39" s="3" t="s">
        <v>82</v>
      </c>
      <c r="M39" s="5" t="s">
        <v>135</v>
      </c>
      <c r="N39" s="3" t="s">
        <v>159</v>
      </c>
      <c r="O39" s="12">
        <v>43369</v>
      </c>
      <c r="P39" s="4">
        <f t="shared" si="0"/>
        <v>44099</v>
      </c>
      <c r="Q39" s="7" t="s">
        <v>40</v>
      </c>
      <c r="R39" s="6" t="str">
        <f>_xlfn.CONCAT(Q39,M39,C39)</f>
        <v>Novateur ElectricalAndhra PradeshNikhil Joshi</v>
      </c>
    </row>
    <row r="40" spans="2:18">
      <c r="B40" s="1">
        <v>38</v>
      </c>
      <c r="C40" s="5" t="s">
        <v>130</v>
      </c>
      <c r="D40" s="1" t="s">
        <v>131</v>
      </c>
      <c r="E40" s="1" t="s">
        <v>132</v>
      </c>
      <c r="F40" s="5" t="s">
        <v>63</v>
      </c>
      <c r="G40" s="1" t="s">
        <v>16</v>
      </c>
      <c r="H40" s="2">
        <v>10</v>
      </c>
      <c r="I40" s="1" t="s">
        <v>17</v>
      </c>
      <c r="J40" s="11" t="s">
        <v>53</v>
      </c>
      <c r="K40" s="5" t="s">
        <v>160</v>
      </c>
      <c r="L40" s="3" t="s">
        <v>82</v>
      </c>
      <c r="M40" s="5" t="s">
        <v>135</v>
      </c>
      <c r="N40" s="3" t="s">
        <v>161</v>
      </c>
      <c r="O40" s="12">
        <v>43399</v>
      </c>
      <c r="P40" s="4">
        <f t="shared" si="0"/>
        <v>44129</v>
      </c>
      <c r="Q40" s="7" t="s">
        <v>40</v>
      </c>
      <c r="R40" s="6" t="str">
        <f>_xlfn.CONCAT(Q40,M40,C40)</f>
        <v>Novateur ElectricalAndhra PradeshNikhil Joshi</v>
      </c>
    </row>
    <row r="41" spans="2:18">
      <c r="B41" s="1">
        <v>39</v>
      </c>
      <c r="C41" s="5" t="s">
        <v>130</v>
      </c>
      <c r="D41" s="1" t="s">
        <v>131</v>
      </c>
      <c r="E41" s="1" t="s">
        <v>132</v>
      </c>
      <c r="F41" s="5" t="s">
        <v>61</v>
      </c>
      <c r="G41" s="1" t="s">
        <v>16</v>
      </c>
      <c r="H41" s="2">
        <v>6</v>
      </c>
      <c r="I41" s="1" t="s">
        <v>17</v>
      </c>
      <c r="J41" s="11" t="s">
        <v>26</v>
      </c>
      <c r="K41" s="5" t="s">
        <v>162</v>
      </c>
      <c r="L41" s="3" t="s">
        <v>82</v>
      </c>
      <c r="M41" s="5" t="s">
        <v>135</v>
      </c>
      <c r="N41" s="3" t="s">
        <v>163</v>
      </c>
      <c r="O41" s="12">
        <v>44806</v>
      </c>
      <c r="P41" s="4">
        <f t="shared" si="0"/>
        <v>45536</v>
      </c>
      <c r="Q41" s="7" t="s">
        <v>40</v>
      </c>
      <c r="R41" s="6" t="str">
        <f>_xlfn.CONCAT(Q41,M41,C41)</f>
        <v>Novateur ElectricalAndhra PradeshNikhil Joshi</v>
      </c>
    </row>
    <row r="42" spans="2:18">
      <c r="B42" s="1">
        <v>40</v>
      </c>
      <c r="C42" s="5" t="s">
        <v>130</v>
      </c>
      <c r="D42" s="1" t="s">
        <v>131</v>
      </c>
      <c r="E42" s="1" t="s">
        <v>132</v>
      </c>
      <c r="F42" s="5" t="s">
        <v>57</v>
      </c>
      <c r="G42" s="8" t="s">
        <v>19</v>
      </c>
      <c r="H42" s="2">
        <v>3</v>
      </c>
      <c r="I42" s="1" t="s">
        <v>17</v>
      </c>
      <c r="J42" s="11" t="s">
        <v>133</v>
      </c>
      <c r="K42" s="5" t="s">
        <v>164</v>
      </c>
      <c r="L42" s="3" t="s">
        <v>82</v>
      </c>
      <c r="M42" s="5" t="s">
        <v>135</v>
      </c>
      <c r="N42" s="3" t="s">
        <v>165</v>
      </c>
      <c r="O42" s="12">
        <v>42850</v>
      </c>
      <c r="P42" s="4">
        <f t="shared" si="0"/>
        <v>43580</v>
      </c>
      <c r="Q42" s="7" t="s">
        <v>40</v>
      </c>
      <c r="R42" s="6" t="str">
        <f>_xlfn.CONCAT(Q42,M42,C42)</f>
        <v>Novateur ElectricalAndhra PradeshNikhil Joshi</v>
      </c>
    </row>
    <row r="43" spans="2:18">
      <c r="B43" s="1">
        <v>41</v>
      </c>
      <c r="C43" s="5" t="s">
        <v>130</v>
      </c>
      <c r="D43" s="1" t="s">
        <v>131</v>
      </c>
      <c r="E43" s="1" t="s">
        <v>132</v>
      </c>
      <c r="F43" s="5" t="s">
        <v>22</v>
      </c>
      <c r="G43" s="1" t="s">
        <v>16</v>
      </c>
      <c r="H43" s="2">
        <v>6</v>
      </c>
      <c r="I43" s="1" t="s">
        <v>17</v>
      </c>
      <c r="J43" s="11" t="s">
        <v>26</v>
      </c>
      <c r="K43" s="5" t="s">
        <v>166</v>
      </c>
      <c r="L43" s="3" t="s">
        <v>82</v>
      </c>
      <c r="M43" s="5" t="s">
        <v>135</v>
      </c>
      <c r="N43" s="3" t="s">
        <v>167</v>
      </c>
      <c r="O43" s="12">
        <v>43922</v>
      </c>
      <c r="P43" s="4">
        <f t="shared" si="0"/>
        <v>44652</v>
      </c>
      <c r="Q43" s="7" t="s">
        <v>40</v>
      </c>
      <c r="R43" s="6" t="str">
        <f>_xlfn.CONCAT(Q43,M43,C43)</f>
        <v>Novateur ElectricalAndhra PradeshNikhil Joshi</v>
      </c>
    </row>
    <row r="44" spans="2:18">
      <c r="B44" s="1">
        <v>42</v>
      </c>
      <c r="C44" s="5" t="s">
        <v>130</v>
      </c>
      <c r="D44" s="1" t="s">
        <v>131</v>
      </c>
      <c r="E44" s="1" t="s">
        <v>132</v>
      </c>
      <c r="F44" s="5" t="s">
        <v>18</v>
      </c>
      <c r="G44" s="8" t="s">
        <v>19</v>
      </c>
      <c r="H44" s="2">
        <v>3</v>
      </c>
      <c r="I44" s="1" t="s">
        <v>17</v>
      </c>
      <c r="J44" s="11" t="s">
        <v>133</v>
      </c>
      <c r="K44" s="5" t="s">
        <v>168</v>
      </c>
      <c r="L44" s="3" t="s">
        <v>82</v>
      </c>
      <c r="M44" s="5" t="s">
        <v>135</v>
      </c>
      <c r="N44" s="3" t="s">
        <v>169</v>
      </c>
      <c r="O44" s="12">
        <v>43190</v>
      </c>
      <c r="P44" s="4">
        <f t="shared" si="0"/>
        <v>43920</v>
      </c>
      <c r="Q44" s="7" t="s">
        <v>40</v>
      </c>
      <c r="R44" s="6" t="str">
        <f>_xlfn.CONCAT(Q44,M44,C44)</f>
        <v>Novateur ElectricalAndhra PradeshNikhil Joshi</v>
      </c>
    </row>
    <row r="45" spans="2:18">
      <c r="B45" s="1">
        <v>43</v>
      </c>
      <c r="C45" s="5" t="s">
        <v>130</v>
      </c>
      <c r="D45" s="1" t="s">
        <v>131</v>
      </c>
      <c r="E45" s="1" t="s">
        <v>132</v>
      </c>
      <c r="F45" s="5" t="s">
        <v>22</v>
      </c>
      <c r="G45" s="1" t="s">
        <v>16</v>
      </c>
      <c r="H45" s="2">
        <v>6</v>
      </c>
      <c r="I45" s="1" t="s">
        <v>17</v>
      </c>
      <c r="J45" s="11" t="s">
        <v>26</v>
      </c>
      <c r="K45" s="5" t="s">
        <v>170</v>
      </c>
      <c r="L45" s="3" t="s">
        <v>82</v>
      </c>
      <c r="M45" s="5" t="s">
        <v>135</v>
      </c>
      <c r="N45" s="3" t="s">
        <v>171</v>
      </c>
      <c r="O45" s="12">
        <v>43836</v>
      </c>
      <c r="P45" s="4">
        <f t="shared" si="0"/>
        <v>44566</v>
      </c>
      <c r="Q45" s="7" t="s">
        <v>40</v>
      </c>
      <c r="R45" s="6" t="str">
        <f>_xlfn.CONCAT(Q45,M45,C45)</f>
        <v>Novateur ElectricalAndhra PradeshNikhil Joshi</v>
      </c>
    </row>
    <row r="46" spans="2:18">
      <c r="B46" s="1">
        <v>44</v>
      </c>
      <c r="C46" s="5" t="s">
        <v>130</v>
      </c>
      <c r="D46" s="1" t="s">
        <v>131</v>
      </c>
      <c r="E46" s="1" t="s">
        <v>132</v>
      </c>
      <c r="F46" s="5" t="s">
        <v>38</v>
      </c>
      <c r="G46" s="1" t="s">
        <v>16</v>
      </c>
      <c r="H46" s="2">
        <v>3</v>
      </c>
      <c r="I46" s="1" t="s">
        <v>17</v>
      </c>
      <c r="J46" s="11" t="s">
        <v>26</v>
      </c>
      <c r="K46" s="5" t="s">
        <v>172</v>
      </c>
      <c r="L46" s="3" t="s">
        <v>82</v>
      </c>
      <c r="M46" s="5" t="s">
        <v>135</v>
      </c>
      <c r="N46" s="3" t="s">
        <v>173</v>
      </c>
      <c r="O46" s="12">
        <v>45269</v>
      </c>
      <c r="P46" s="4">
        <f t="shared" si="0"/>
        <v>45999</v>
      </c>
      <c r="Q46" s="7" t="s">
        <v>40</v>
      </c>
      <c r="R46" s="6" t="str">
        <f>_xlfn.CONCAT(Q46,M46,C46)</f>
        <v>Novateur ElectricalAndhra PradeshNikhil Joshi</v>
      </c>
    </row>
    <row r="47" spans="2:18">
      <c r="B47" s="1">
        <v>45</v>
      </c>
      <c r="C47" s="5" t="s">
        <v>130</v>
      </c>
      <c r="D47" s="1" t="s">
        <v>131</v>
      </c>
      <c r="E47" s="1" t="s">
        <v>132</v>
      </c>
      <c r="F47" s="5" t="s">
        <v>32</v>
      </c>
      <c r="G47" s="1" t="s">
        <v>16</v>
      </c>
      <c r="H47" s="2">
        <v>3</v>
      </c>
      <c r="I47" s="1" t="s">
        <v>17</v>
      </c>
      <c r="J47" s="11" t="s">
        <v>133</v>
      </c>
      <c r="K47" s="5" t="s">
        <v>174</v>
      </c>
      <c r="L47" s="3" t="s">
        <v>82</v>
      </c>
      <c r="M47" s="5" t="s">
        <v>135</v>
      </c>
      <c r="N47" s="3" t="s">
        <v>175</v>
      </c>
      <c r="O47" s="13">
        <v>42549</v>
      </c>
      <c r="P47" s="4">
        <f t="shared" si="0"/>
        <v>43279</v>
      </c>
      <c r="Q47" s="7" t="s">
        <v>40</v>
      </c>
      <c r="R47" s="6" t="str">
        <f>_xlfn.CONCAT(Q47,M47,C47)</f>
        <v>Novateur ElectricalAndhra PradeshNikhil Joshi</v>
      </c>
    </row>
    <row r="48" spans="2:18">
      <c r="B48" s="1">
        <v>46</v>
      </c>
      <c r="C48" s="5" t="s">
        <v>130</v>
      </c>
      <c r="D48" s="1" t="s">
        <v>131</v>
      </c>
      <c r="E48" s="1" t="s">
        <v>132</v>
      </c>
      <c r="F48" s="5" t="s">
        <v>21</v>
      </c>
      <c r="G48" s="1" t="s">
        <v>16</v>
      </c>
      <c r="H48" s="2">
        <v>10</v>
      </c>
      <c r="I48" s="1" t="s">
        <v>17</v>
      </c>
      <c r="J48" s="11" t="s">
        <v>176</v>
      </c>
      <c r="K48" s="5" t="s">
        <v>174</v>
      </c>
      <c r="L48" s="3" t="s">
        <v>82</v>
      </c>
      <c r="M48" s="5" t="s">
        <v>135</v>
      </c>
      <c r="N48" s="3" t="s">
        <v>175</v>
      </c>
      <c r="O48" s="12">
        <v>43369</v>
      </c>
      <c r="P48" s="4">
        <f t="shared" si="0"/>
        <v>44099</v>
      </c>
      <c r="Q48" s="7" t="s">
        <v>40</v>
      </c>
      <c r="R48" s="6" t="str">
        <f>_xlfn.CONCAT(Q48,M48,C48)</f>
        <v>Novateur ElectricalAndhra PradeshNikhil Joshi</v>
      </c>
    </row>
    <row r="49" spans="2:18">
      <c r="B49" s="1">
        <v>47</v>
      </c>
      <c r="C49" s="5" t="s">
        <v>130</v>
      </c>
      <c r="D49" s="1" t="s">
        <v>131</v>
      </c>
      <c r="E49" s="1" t="s">
        <v>132</v>
      </c>
      <c r="F49" s="5" t="s">
        <v>32</v>
      </c>
      <c r="G49" s="1" t="s">
        <v>16</v>
      </c>
      <c r="H49" s="2">
        <v>3</v>
      </c>
      <c r="I49" s="1" t="s">
        <v>17</v>
      </c>
      <c r="J49" s="11" t="s">
        <v>133</v>
      </c>
      <c r="K49" s="5" t="s">
        <v>177</v>
      </c>
      <c r="L49" s="3" t="s">
        <v>82</v>
      </c>
      <c r="M49" s="5" t="s">
        <v>135</v>
      </c>
      <c r="N49" s="3" t="s">
        <v>178</v>
      </c>
      <c r="O49" s="12">
        <v>43555</v>
      </c>
      <c r="P49" s="4">
        <f t="shared" si="0"/>
        <v>44285</v>
      </c>
      <c r="Q49" s="7" t="s">
        <v>40</v>
      </c>
      <c r="R49" s="6" t="str">
        <f>_xlfn.CONCAT(Q49,M49,C49)</f>
        <v>Novateur ElectricalAndhra PradeshNikhil Joshi</v>
      </c>
    </row>
    <row r="50" spans="2:18">
      <c r="B50" s="1">
        <v>48</v>
      </c>
      <c r="C50" s="5" t="s">
        <v>130</v>
      </c>
      <c r="D50" s="1" t="s">
        <v>131</v>
      </c>
      <c r="E50" s="1" t="s">
        <v>132</v>
      </c>
      <c r="F50" s="5" t="s">
        <v>179</v>
      </c>
      <c r="G50" s="1" t="s">
        <v>16</v>
      </c>
      <c r="H50" s="2">
        <v>10</v>
      </c>
      <c r="I50" s="1" t="s">
        <v>17</v>
      </c>
      <c r="J50" s="11" t="s">
        <v>53</v>
      </c>
      <c r="K50" s="5" t="s">
        <v>180</v>
      </c>
      <c r="L50" s="3" t="s">
        <v>82</v>
      </c>
      <c r="M50" s="5" t="s">
        <v>135</v>
      </c>
      <c r="N50" s="3" t="s">
        <v>181</v>
      </c>
      <c r="O50" s="13">
        <v>45219</v>
      </c>
      <c r="P50" s="4">
        <f t="shared" si="0"/>
        <v>45949</v>
      </c>
      <c r="Q50" s="7" t="s">
        <v>40</v>
      </c>
      <c r="R50" s="6" t="str">
        <f>_xlfn.CONCAT(Q50,M50,C50)</f>
        <v>Novateur ElectricalAndhra PradeshNikhil Joshi</v>
      </c>
    </row>
    <row r="51" spans="2:18">
      <c r="B51" s="1">
        <v>49</v>
      </c>
      <c r="C51" s="5" t="s">
        <v>130</v>
      </c>
      <c r="D51" s="1" t="s">
        <v>131</v>
      </c>
      <c r="E51" s="1" t="s">
        <v>132</v>
      </c>
      <c r="F51" s="5" t="s">
        <v>86</v>
      </c>
      <c r="G51" s="1" t="s">
        <v>16</v>
      </c>
      <c r="H51" s="5">
        <v>30</v>
      </c>
      <c r="I51" s="1" t="s">
        <v>17</v>
      </c>
      <c r="J51" s="11" t="s">
        <v>182</v>
      </c>
      <c r="K51" s="5" t="s">
        <v>183</v>
      </c>
      <c r="L51" s="3" t="s">
        <v>82</v>
      </c>
      <c r="M51" s="5" t="s">
        <v>135</v>
      </c>
      <c r="N51" s="3" t="s">
        <v>184</v>
      </c>
      <c r="O51" s="12">
        <v>43783</v>
      </c>
      <c r="P51" s="4">
        <f t="shared" si="0"/>
        <v>44513</v>
      </c>
      <c r="Q51" s="7" t="s">
        <v>40</v>
      </c>
      <c r="R51" s="6" t="str">
        <f>_xlfn.CONCAT(Q51,M51,C51)</f>
        <v>Novateur ElectricalAndhra PradeshNikhil Joshi</v>
      </c>
    </row>
    <row r="52" spans="2:18">
      <c r="B52" s="1">
        <v>50</v>
      </c>
      <c r="C52" s="5" t="s">
        <v>130</v>
      </c>
      <c r="D52" s="1" t="s">
        <v>131</v>
      </c>
      <c r="E52" s="1" t="s">
        <v>132</v>
      </c>
      <c r="F52" s="5" t="s">
        <v>71</v>
      </c>
      <c r="G52" s="1" t="s">
        <v>16</v>
      </c>
      <c r="H52" s="1">
        <v>20</v>
      </c>
      <c r="I52" s="1" t="s">
        <v>17</v>
      </c>
      <c r="J52" s="11" t="s">
        <v>176</v>
      </c>
      <c r="K52" s="5" t="s">
        <v>185</v>
      </c>
      <c r="L52" s="3" t="s">
        <v>82</v>
      </c>
      <c r="M52" s="5" t="s">
        <v>135</v>
      </c>
      <c r="N52" s="3" t="s">
        <v>186</v>
      </c>
      <c r="O52" s="12">
        <v>42185</v>
      </c>
      <c r="P52" s="4">
        <f t="shared" si="0"/>
        <v>42915</v>
      </c>
      <c r="Q52" s="7" t="s">
        <v>40</v>
      </c>
      <c r="R52" s="6" t="str">
        <f>_xlfn.CONCAT(Q52,M52,C52)</f>
        <v>Novateur ElectricalAndhra PradeshNikhil Joshi</v>
      </c>
    </row>
    <row r="53" spans="2:18">
      <c r="B53" s="1">
        <v>51</v>
      </c>
      <c r="C53" s="5" t="s">
        <v>130</v>
      </c>
      <c r="D53" s="1" t="s">
        <v>131</v>
      </c>
      <c r="E53" s="1" t="s">
        <v>132</v>
      </c>
      <c r="F53" s="5" t="s">
        <v>85</v>
      </c>
      <c r="G53" s="1" t="s">
        <v>16</v>
      </c>
      <c r="H53" s="2">
        <v>10</v>
      </c>
      <c r="I53" s="1" t="s">
        <v>17</v>
      </c>
      <c r="J53" s="11" t="s">
        <v>187</v>
      </c>
      <c r="K53" s="5" t="s">
        <v>188</v>
      </c>
      <c r="L53" s="3" t="s">
        <v>82</v>
      </c>
      <c r="M53" s="5" t="s">
        <v>135</v>
      </c>
      <c r="N53" s="3" t="s">
        <v>189</v>
      </c>
      <c r="O53" s="12">
        <v>44704</v>
      </c>
      <c r="P53" s="4">
        <f t="shared" si="0"/>
        <v>45434</v>
      </c>
      <c r="Q53" s="7" t="s">
        <v>40</v>
      </c>
      <c r="R53" s="6" t="str">
        <f>_xlfn.CONCAT(Q53,M53,C53)</f>
        <v>Novateur ElectricalAndhra PradeshNikhil Joshi</v>
      </c>
    </row>
    <row r="54" spans="2:18">
      <c r="B54" s="1">
        <v>52</v>
      </c>
      <c r="C54" s="5" t="s">
        <v>130</v>
      </c>
      <c r="D54" s="1" t="s">
        <v>131</v>
      </c>
      <c r="E54" s="1" t="s">
        <v>132</v>
      </c>
      <c r="F54" s="5" t="s">
        <v>64</v>
      </c>
      <c r="G54" s="1" t="s">
        <v>16</v>
      </c>
      <c r="H54" s="2">
        <v>3</v>
      </c>
      <c r="I54" s="1" t="s">
        <v>17</v>
      </c>
      <c r="J54" s="11" t="s">
        <v>190</v>
      </c>
      <c r="K54" s="5" t="s">
        <v>191</v>
      </c>
      <c r="L54" s="3" t="s">
        <v>82</v>
      </c>
      <c r="M54" s="5" t="s">
        <v>135</v>
      </c>
      <c r="N54" s="3" t="s">
        <v>192</v>
      </c>
      <c r="O54" s="12">
        <v>42058</v>
      </c>
      <c r="P54" s="4">
        <f t="shared" si="0"/>
        <v>42788</v>
      </c>
      <c r="Q54" s="7" t="s">
        <v>40</v>
      </c>
      <c r="R54" s="6" t="str">
        <f>_xlfn.CONCAT(Q54,M54,C54)</f>
        <v>Novateur ElectricalAndhra PradeshNikhil Joshi</v>
      </c>
    </row>
    <row r="55" spans="2:18">
      <c r="B55" s="1">
        <v>53</v>
      </c>
      <c r="C55" s="5" t="s">
        <v>130</v>
      </c>
      <c r="D55" s="1" t="s">
        <v>131</v>
      </c>
      <c r="E55" s="1" t="s">
        <v>132</v>
      </c>
      <c r="F55" s="5" t="s">
        <v>41</v>
      </c>
      <c r="G55" s="1" t="s">
        <v>16</v>
      </c>
      <c r="H55" s="2">
        <v>10</v>
      </c>
      <c r="I55" s="1" t="s">
        <v>17</v>
      </c>
      <c r="J55" s="11" t="s">
        <v>26</v>
      </c>
      <c r="K55" s="5" t="s">
        <v>191</v>
      </c>
      <c r="L55" s="3" t="s">
        <v>82</v>
      </c>
      <c r="M55" s="5" t="s">
        <v>135</v>
      </c>
      <c r="N55" s="3" t="s">
        <v>192</v>
      </c>
      <c r="O55" s="12">
        <v>44569</v>
      </c>
      <c r="P55" s="4">
        <f t="shared" si="0"/>
        <v>45299</v>
      </c>
      <c r="Q55" s="7" t="s">
        <v>40</v>
      </c>
      <c r="R55" s="6" t="str">
        <f>_xlfn.CONCAT(Q55,M55,C55)</f>
        <v>Novateur ElectricalAndhra PradeshNikhil Joshi</v>
      </c>
    </row>
    <row r="56" spans="2:18">
      <c r="B56" s="1">
        <v>54</v>
      </c>
      <c r="C56" s="5" t="s">
        <v>130</v>
      </c>
      <c r="D56" s="1" t="s">
        <v>131</v>
      </c>
      <c r="E56" s="1" t="s">
        <v>132</v>
      </c>
      <c r="F56" s="5" t="s">
        <v>20</v>
      </c>
      <c r="G56" s="8" t="s">
        <v>19</v>
      </c>
      <c r="H56" s="2">
        <v>6</v>
      </c>
      <c r="I56" s="1" t="s">
        <v>17</v>
      </c>
      <c r="J56" s="11" t="s">
        <v>100</v>
      </c>
      <c r="K56" s="5" t="s">
        <v>193</v>
      </c>
      <c r="L56" s="3" t="s">
        <v>82</v>
      </c>
      <c r="M56" s="5" t="s">
        <v>81</v>
      </c>
      <c r="N56" s="3" t="s">
        <v>194</v>
      </c>
      <c r="O56" s="12">
        <v>43634</v>
      </c>
      <c r="P56" s="4">
        <f t="shared" si="0"/>
        <v>44364</v>
      </c>
      <c r="Q56" s="7" t="s">
        <v>40</v>
      </c>
      <c r="R56" s="6" t="str">
        <f>_xlfn.CONCAT(Q56,M56,C56)</f>
        <v>Novateur ElectricalPondicherryNikhil Joshi</v>
      </c>
    </row>
    <row r="57" spans="2:18">
      <c r="B57" s="1">
        <v>55</v>
      </c>
      <c r="C57" s="5" t="s">
        <v>195</v>
      </c>
      <c r="D57" s="1" t="s">
        <v>196</v>
      </c>
      <c r="E57" s="1" t="e">
        <v>#N/A</v>
      </c>
      <c r="F57" s="5" t="s">
        <v>31</v>
      </c>
      <c r="G57" s="8" t="s">
        <v>19</v>
      </c>
      <c r="H57" s="2">
        <v>3</v>
      </c>
      <c r="I57" s="1" t="s">
        <v>17</v>
      </c>
      <c r="J57" s="5" t="s">
        <v>80</v>
      </c>
      <c r="K57" s="5" t="s">
        <v>197</v>
      </c>
      <c r="L57" s="3" t="s">
        <v>82</v>
      </c>
      <c r="M57" s="5" t="s">
        <v>135</v>
      </c>
      <c r="N57" s="3" t="s">
        <v>198</v>
      </c>
      <c r="O57" s="12">
        <v>43555</v>
      </c>
      <c r="P57" s="4">
        <f t="shared" ref="P57:P118" si="1">O57+365*2</f>
        <v>44285</v>
      </c>
      <c r="Q57" s="7" t="s">
        <v>40</v>
      </c>
      <c r="R57" s="6" t="str">
        <f>_xlfn.CONCAT(Q57,M57,C57)</f>
        <v>Novateur ElectricalAndhra PradeshPandla Munirathnam</v>
      </c>
    </row>
    <row r="58" spans="2:18">
      <c r="B58" s="1">
        <v>56</v>
      </c>
      <c r="C58" s="5" t="s">
        <v>195</v>
      </c>
      <c r="D58" s="1" t="s">
        <v>196</v>
      </c>
      <c r="E58" s="1" t="e">
        <v>#N/A</v>
      </c>
      <c r="F58" s="5" t="s">
        <v>21</v>
      </c>
      <c r="G58" s="1" t="s">
        <v>16</v>
      </c>
      <c r="H58" s="2">
        <v>10</v>
      </c>
      <c r="I58" s="1" t="s">
        <v>17</v>
      </c>
      <c r="J58" s="5" t="s">
        <v>199</v>
      </c>
      <c r="K58" s="5" t="s">
        <v>197</v>
      </c>
      <c r="L58" s="3" t="s">
        <v>82</v>
      </c>
      <c r="M58" s="5" t="s">
        <v>135</v>
      </c>
      <c r="N58" s="3" t="s">
        <v>198</v>
      </c>
      <c r="O58" s="12">
        <v>43423</v>
      </c>
      <c r="P58" s="4">
        <f t="shared" si="1"/>
        <v>44153</v>
      </c>
      <c r="Q58" s="7" t="s">
        <v>40</v>
      </c>
      <c r="R58" s="6" t="str">
        <f>_xlfn.CONCAT(Q58,M58,C58)</f>
        <v>Novateur ElectricalAndhra PradeshPandla Munirathnam</v>
      </c>
    </row>
    <row r="59" spans="2:18">
      <c r="B59" s="1">
        <v>57</v>
      </c>
      <c r="C59" s="5" t="s">
        <v>195</v>
      </c>
      <c r="D59" s="1" t="s">
        <v>196</v>
      </c>
      <c r="E59" s="1" t="e">
        <v>#N/A</v>
      </c>
      <c r="F59" s="5" t="s">
        <v>22</v>
      </c>
      <c r="G59" s="1" t="s">
        <v>16</v>
      </c>
      <c r="H59" s="2">
        <v>6</v>
      </c>
      <c r="I59" s="1" t="s">
        <v>17</v>
      </c>
      <c r="J59" s="5" t="s">
        <v>200</v>
      </c>
      <c r="K59" s="5" t="s">
        <v>201</v>
      </c>
      <c r="L59" s="3" t="s">
        <v>82</v>
      </c>
      <c r="M59" s="5" t="s">
        <v>135</v>
      </c>
      <c r="N59" s="3" t="s">
        <v>202</v>
      </c>
      <c r="O59" s="12">
        <v>43369</v>
      </c>
      <c r="P59" s="4">
        <f t="shared" si="1"/>
        <v>44099</v>
      </c>
      <c r="Q59" s="7" t="s">
        <v>40</v>
      </c>
      <c r="R59" s="6" t="str">
        <f>_xlfn.CONCAT(Q59,M59,C59)</f>
        <v>Novateur ElectricalAndhra PradeshPandla Munirathnam</v>
      </c>
    </row>
    <row r="60" spans="2:18">
      <c r="B60" s="1">
        <v>58</v>
      </c>
      <c r="C60" s="5" t="s">
        <v>195</v>
      </c>
      <c r="D60" s="1" t="s">
        <v>196</v>
      </c>
      <c r="E60" s="1" t="e">
        <v>#N/A</v>
      </c>
      <c r="F60" s="5" t="s">
        <v>27</v>
      </c>
      <c r="G60" s="1" t="s">
        <v>16</v>
      </c>
      <c r="H60" s="2">
        <v>3</v>
      </c>
      <c r="I60" s="1" t="s">
        <v>17</v>
      </c>
      <c r="J60" s="5" t="s">
        <v>84</v>
      </c>
      <c r="K60" s="5" t="s">
        <v>203</v>
      </c>
      <c r="L60" s="3" t="s">
        <v>82</v>
      </c>
      <c r="M60" s="5" t="s">
        <v>135</v>
      </c>
      <c r="N60" s="3" t="s">
        <v>204</v>
      </c>
      <c r="O60" s="12">
        <v>43057</v>
      </c>
      <c r="P60" s="4">
        <f t="shared" si="1"/>
        <v>43787</v>
      </c>
      <c r="Q60" s="7" t="s">
        <v>40</v>
      </c>
      <c r="R60" s="6" t="str">
        <f>_xlfn.CONCAT(Q60,M60,C60)</f>
        <v>Novateur ElectricalAndhra PradeshPandla Munirathnam</v>
      </c>
    </row>
    <row r="61" spans="2:18">
      <c r="B61" s="1">
        <v>59</v>
      </c>
      <c r="C61" s="5" t="s">
        <v>195</v>
      </c>
      <c r="D61" s="1" t="s">
        <v>196</v>
      </c>
      <c r="E61" s="1" t="e">
        <v>#N/A</v>
      </c>
      <c r="F61" s="5" t="s">
        <v>32</v>
      </c>
      <c r="G61" s="1" t="s">
        <v>16</v>
      </c>
      <c r="H61" s="2">
        <v>3</v>
      </c>
      <c r="I61" s="1" t="s">
        <v>17</v>
      </c>
      <c r="J61" s="5" t="s">
        <v>205</v>
      </c>
      <c r="K61" s="5" t="s">
        <v>206</v>
      </c>
      <c r="L61" s="3" t="s">
        <v>82</v>
      </c>
      <c r="M61" s="5" t="s">
        <v>135</v>
      </c>
      <c r="N61" s="3" t="s">
        <v>207</v>
      </c>
      <c r="O61" s="12">
        <v>43555</v>
      </c>
      <c r="P61" s="4">
        <f t="shared" si="1"/>
        <v>44285</v>
      </c>
      <c r="Q61" s="7" t="s">
        <v>40</v>
      </c>
      <c r="R61" s="6" t="str">
        <f>_xlfn.CONCAT(Q61,M61,C61)</f>
        <v>Novateur ElectricalAndhra PradeshPandla Munirathnam</v>
      </c>
    </row>
    <row r="62" spans="2:18">
      <c r="B62" s="1">
        <v>60</v>
      </c>
      <c r="C62" s="5" t="s">
        <v>195</v>
      </c>
      <c r="D62" s="1" t="s">
        <v>196</v>
      </c>
      <c r="E62" s="1" t="e">
        <v>#N/A</v>
      </c>
      <c r="F62" s="5" t="s">
        <v>22</v>
      </c>
      <c r="G62" s="1" t="s">
        <v>16</v>
      </c>
      <c r="H62" s="2">
        <v>6</v>
      </c>
      <c r="I62" s="1" t="s">
        <v>17</v>
      </c>
      <c r="J62" s="5" t="s">
        <v>200</v>
      </c>
      <c r="K62" s="5" t="s">
        <v>206</v>
      </c>
      <c r="L62" s="3" t="s">
        <v>82</v>
      </c>
      <c r="M62" s="5" t="s">
        <v>135</v>
      </c>
      <c r="N62" s="3" t="s">
        <v>207</v>
      </c>
      <c r="O62" s="12">
        <v>43483</v>
      </c>
      <c r="P62" s="4">
        <f t="shared" si="1"/>
        <v>44213</v>
      </c>
      <c r="Q62" s="7" t="s">
        <v>40</v>
      </c>
      <c r="R62" s="6" t="str">
        <f>_xlfn.CONCAT(Q62,M62,C62)</f>
        <v>Novateur ElectricalAndhra PradeshPandla Munirathnam</v>
      </c>
    </row>
    <row r="63" spans="2:18">
      <c r="B63" s="1">
        <v>61</v>
      </c>
      <c r="C63" s="5" t="s">
        <v>195</v>
      </c>
      <c r="D63" s="1" t="s">
        <v>196</v>
      </c>
      <c r="E63" s="1" t="e">
        <v>#N/A</v>
      </c>
      <c r="F63" s="5" t="s">
        <v>32</v>
      </c>
      <c r="G63" s="1" t="s">
        <v>16</v>
      </c>
      <c r="H63" s="2">
        <v>3</v>
      </c>
      <c r="I63" s="1" t="s">
        <v>17</v>
      </c>
      <c r="J63" s="5" t="s">
        <v>205</v>
      </c>
      <c r="K63" s="5" t="s">
        <v>208</v>
      </c>
      <c r="L63" s="3" t="s">
        <v>82</v>
      </c>
      <c r="M63" s="5" t="s">
        <v>135</v>
      </c>
      <c r="N63" s="3" t="s">
        <v>209</v>
      </c>
      <c r="O63" s="12">
        <v>42455</v>
      </c>
      <c r="P63" s="4">
        <f t="shared" si="1"/>
        <v>43185</v>
      </c>
      <c r="Q63" s="7" t="s">
        <v>40</v>
      </c>
      <c r="R63" s="6" t="str">
        <f>_xlfn.CONCAT(Q63,M63,C63)</f>
        <v>Novateur ElectricalAndhra PradeshPandla Munirathnam</v>
      </c>
    </row>
    <row r="64" spans="2:18">
      <c r="B64" s="1">
        <v>62</v>
      </c>
      <c r="C64" s="5" t="s">
        <v>195</v>
      </c>
      <c r="D64" s="1" t="s">
        <v>196</v>
      </c>
      <c r="E64" s="1" t="e">
        <v>#N/A</v>
      </c>
      <c r="F64" s="5" t="s">
        <v>56</v>
      </c>
      <c r="G64" s="8" t="s">
        <v>19</v>
      </c>
      <c r="H64" s="2">
        <v>3</v>
      </c>
      <c r="I64" s="1" t="s">
        <v>17</v>
      </c>
      <c r="J64" s="5" t="s">
        <v>80</v>
      </c>
      <c r="K64" s="5" t="s">
        <v>210</v>
      </c>
      <c r="L64" s="3" t="s">
        <v>82</v>
      </c>
      <c r="M64" s="5" t="s">
        <v>135</v>
      </c>
      <c r="N64" s="3" t="s">
        <v>211</v>
      </c>
      <c r="O64" s="12">
        <v>43034</v>
      </c>
      <c r="P64" s="4">
        <f t="shared" si="1"/>
        <v>43764</v>
      </c>
      <c r="Q64" s="7" t="s">
        <v>40</v>
      </c>
      <c r="R64" s="6" t="str">
        <f>_xlfn.CONCAT(Q64,M64,C64)</f>
        <v>Novateur ElectricalAndhra PradeshPandla Munirathnam</v>
      </c>
    </row>
    <row r="65" spans="2:18">
      <c r="B65" s="1">
        <v>63</v>
      </c>
      <c r="C65" s="5" t="s">
        <v>195</v>
      </c>
      <c r="D65" s="1" t="s">
        <v>196</v>
      </c>
      <c r="E65" s="1" t="e">
        <v>#N/A</v>
      </c>
      <c r="F65" s="5" t="s">
        <v>47</v>
      </c>
      <c r="G65" s="3" t="s">
        <v>24</v>
      </c>
      <c r="H65" s="2">
        <v>6</v>
      </c>
      <c r="I65" s="1" t="s">
        <v>17</v>
      </c>
      <c r="J65" s="5" t="s">
        <v>212</v>
      </c>
      <c r="K65" s="5" t="s">
        <v>213</v>
      </c>
      <c r="L65" s="3" t="s">
        <v>82</v>
      </c>
      <c r="M65" s="5" t="s">
        <v>135</v>
      </c>
      <c r="N65" s="3" t="s">
        <v>214</v>
      </c>
      <c r="O65" s="12">
        <v>45212</v>
      </c>
      <c r="P65" s="4">
        <f t="shared" si="1"/>
        <v>45942</v>
      </c>
      <c r="Q65" s="7" t="s">
        <v>45</v>
      </c>
      <c r="R65" s="6" t="str">
        <f>_xlfn.CONCAT(Q65,M65,C65)</f>
        <v>Best PowerAndhra PradeshPandla Munirathnam</v>
      </c>
    </row>
    <row r="66" spans="2:18">
      <c r="B66" s="1">
        <v>64</v>
      </c>
      <c r="C66" s="5" t="s">
        <v>195</v>
      </c>
      <c r="D66" s="1" t="s">
        <v>196</v>
      </c>
      <c r="E66" s="1" t="e">
        <v>#N/A</v>
      </c>
      <c r="F66" s="5" t="s">
        <v>61</v>
      </c>
      <c r="G66" s="1" t="s">
        <v>16</v>
      </c>
      <c r="H66" s="2">
        <v>6</v>
      </c>
      <c r="I66" s="1" t="s">
        <v>17</v>
      </c>
      <c r="J66" s="5" t="s">
        <v>200</v>
      </c>
      <c r="K66" s="5" t="s">
        <v>213</v>
      </c>
      <c r="L66" s="3" t="s">
        <v>82</v>
      </c>
      <c r="M66" s="5" t="s">
        <v>135</v>
      </c>
      <c r="N66" s="3" t="s">
        <v>214</v>
      </c>
      <c r="O66" s="12">
        <v>44806</v>
      </c>
      <c r="P66" s="4">
        <f t="shared" si="1"/>
        <v>45536</v>
      </c>
      <c r="Q66" s="7" t="s">
        <v>40</v>
      </c>
      <c r="R66" s="6" t="str">
        <f>_xlfn.CONCAT(Q66,M66,C66)</f>
        <v>Novateur ElectricalAndhra PradeshPandla Munirathnam</v>
      </c>
    </row>
    <row r="67" spans="2:18">
      <c r="B67" s="1">
        <v>65</v>
      </c>
      <c r="C67" s="5" t="s">
        <v>195</v>
      </c>
      <c r="D67" s="1" t="s">
        <v>196</v>
      </c>
      <c r="E67" s="1" t="e">
        <v>#N/A</v>
      </c>
      <c r="F67" s="5" t="s">
        <v>22</v>
      </c>
      <c r="G67" s="1" t="s">
        <v>16</v>
      </c>
      <c r="H67" s="2">
        <v>6</v>
      </c>
      <c r="I67" s="1" t="s">
        <v>17</v>
      </c>
      <c r="J67" s="5" t="s">
        <v>200</v>
      </c>
      <c r="K67" s="5" t="s">
        <v>215</v>
      </c>
      <c r="L67" s="3" t="s">
        <v>82</v>
      </c>
      <c r="M67" s="5" t="s">
        <v>135</v>
      </c>
      <c r="N67" s="3" t="s">
        <v>216</v>
      </c>
      <c r="O67" s="12">
        <v>43397</v>
      </c>
      <c r="P67" s="4">
        <f t="shared" si="1"/>
        <v>44127</v>
      </c>
      <c r="Q67" s="7" t="s">
        <v>40</v>
      </c>
      <c r="R67" s="6" t="str">
        <f>_xlfn.CONCAT(Q67,M67,C67)</f>
        <v>Novateur ElectricalAndhra PradeshPandla Munirathnam</v>
      </c>
    </row>
    <row r="68" spans="2:18">
      <c r="B68" s="1">
        <v>66</v>
      </c>
      <c r="C68" s="5" t="s">
        <v>195</v>
      </c>
      <c r="D68" s="1" t="s">
        <v>196</v>
      </c>
      <c r="E68" s="1" t="e">
        <v>#N/A</v>
      </c>
      <c r="F68" s="5" t="s">
        <v>18</v>
      </c>
      <c r="G68" s="8" t="s">
        <v>19</v>
      </c>
      <c r="H68" s="2">
        <v>3</v>
      </c>
      <c r="I68" s="1" t="s">
        <v>17</v>
      </c>
      <c r="J68" s="5" t="s">
        <v>80</v>
      </c>
      <c r="K68" s="5" t="s">
        <v>217</v>
      </c>
      <c r="L68" s="3" t="s">
        <v>82</v>
      </c>
      <c r="M68" s="5" t="s">
        <v>135</v>
      </c>
      <c r="N68" s="3" t="s">
        <v>218</v>
      </c>
      <c r="O68" s="12">
        <v>43190</v>
      </c>
      <c r="P68" s="4">
        <f t="shared" si="1"/>
        <v>43920</v>
      </c>
      <c r="Q68" s="7" t="s">
        <v>40</v>
      </c>
      <c r="R68" s="6" t="str">
        <f>_xlfn.CONCAT(Q68,M68,C68)</f>
        <v>Novateur ElectricalAndhra PradeshPandla Munirathnam</v>
      </c>
    </row>
    <row r="69" spans="2:18">
      <c r="B69" s="1">
        <v>67</v>
      </c>
      <c r="C69" s="5" t="s">
        <v>195</v>
      </c>
      <c r="D69" s="1" t="s">
        <v>196</v>
      </c>
      <c r="E69" s="1" t="e">
        <v>#N/A</v>
      </c>
      <c r="F69" s="5" t="s">
        <v>18</v>
      </c>
      <c r="G69" s="8" t="s">
        <v>19</v>
      </c>
      <c r="H69" s="2">
        <v>3</v>
      </c>
      <c r="I69" s="1" t="s">
        <v>17</v>
      </c>
      <c r="J69" s="5" t="s">
        <v>80</v>
      </c>
      <c r="K69" s="5" t="s">
        <v>219</v>
      </c>
      <c r="L69" s="3" t="s">
        <v>82</v>
      </c>
      <c r="M69" s="5" t="s">
        <v>135</v>
      </c>
      <c r="N69" s="3" t="s">
        <v>220</v>
      </c>
      <c r="O69" s="12">
        <v>43897</v>
      </c>
      <c r="P69" s="4">
        <f t="shared" si="1"/>
        <v>44627</v>
      </c>
      <c r="Q69" s="7" t="s">
        <v>40</v>
      </c>
      <c r="R69" s="6" t="str">
        <f>_xlfn.CONCAT(Q69,M69,C69)</f>
        <v>Novateur ElectricalAndhra PradeshPandla Munirathnam</v>
      </c>
    </row>
    <row r="70" spans="2:18">
      <c r="B70" s="1">
        <v>68</v>
      </c>
      <c r="C70" s="5" t="s">
        <v>195</v>
      </c>
      <c r="D70" s="1" t="s">
        <v>196</v>
      </c>
      <c r="E70" s="1" t="e">
        <v>#N/A</v>
      </c>
      <c r="F70" s="5" t="s">
        <v>38</v>
      </c>
      <c r="G70" s="1" t="s">
        <v>16</v>
      </c>
      <c r="H70" s="2">
        <v>3</v>
      </c>
      <c r="I70" s="1" t="s">
        <v>17</v>
      </c>
      <c r="J70" s="5" t="s">
        <v>221</v>
      </c>
      <c r="K70" s="5" t="s">
        <v>222</v>
      </c>
      <c r="L70" s="3" t="s">
        <v>82</v>
      </c>
      <c r="M70" s="5" t="s">
        <v>135</v>
      </c>
      <c r="N70" s="3" t="s">
        <v>223</v>
      </c>
      <c r="O70" s="12">
        <v>45195</v>
      </c>
      <c r="P70" s="4">
        <f t="shared" si="1"/>
        <v>45925</v>
      </c>
      <c r="Q70" s="7" t="s">
        <v>40</v>
      </c>
      <c r="R70" s="6" t="str">
        <f>_xlfn.CONCAT(Q70,M70,C70)</f>
        <v>Novateur ElectricalAndhra PradeshPandla Munirathnam</v>
      </c>
    </row>
    <row r="71" spans="2:18">
      <c r="B71" s="1">
        <v>69</v>
      </c>
      <c r="C71" s="5" t="s">
        <v>195</v>
      </c>
      <c r="D71" s="1" t="s">
        <v>196</v>
      </c>
      <c r="E71" s="1" t="e">
        <v>#N/A</v>
      </c>
      <c r="F71" s="5" t="s">
        <v>46</v>
      </c>
      <c r="G71" s="1" t="s">
        <v>16</v>
      </c>
      <c r="H71" s="2">
        <v>6</v>
      </c>
      <c r="I71" s="1" t="s">
        <v>17</v>
      </c>
      <c r="J71" s="5" t="s">
        <v>224</v>
      </c>
      <c r="K71" s="5" t="s">
        <v>225</v>
      </c>
      <c r="L71" s="3" t="s">
        <v>82</v>
      </c>
      <c r="M71" s="5" t="s">
        <v>135</v>
      </c>
      <c r="N71" s="3" t="s">
        <v>226</v>
      </c>
      <c r="O71" s="12">
        <v>45197</v>
      </c>
      <c r="P71" s="4">
        <f t="shared" si="1"/>
        <v>45927</v>
      </c>
      <c r="Q71" s="7" t="s">
        <v>40</v>
      </c>
      <c r="R71" s="6" t="str">
        <f>_xlfn.CONCAT(Q71,M71,C71)</f>
        <v>Novateur ElectricalAndhra PradeshPandla Munirathnam</v>
      </c>
    </row>
    <row r="72" spans="2:18">
      <c r="B72" s="1">
        <v>70</v>
      </c>
      <c r="C72" s="5" t="s">
        <v>195</v>
      </c>
      <c r="D72" s="1" t="s">
        <v>196</v>
      </c>
      <c r="E72" s="1" t="e">
        <v>#N/A</v>
      </c>
      <c r="F72" s="5" t="s">
        <v>77</v>
      </c>
      <c r="G72" s="1" t="s">
        <v>16</v>
      </c>
      <c r="H72" s="5">
        <v>2</v>
      </c>
      <c r="I72" s="1" t="s">
        <v>17</v>
      </c>
      <c r="J72" s="5" t="s">
        <v>227</v>
      </c>
      <c r="K72" s="5" t="s">
        <v>228</v>
      </c>
      <c r="L72" s="3" t="s">
        <v>82</v>
      </c>
      <c r="M72" s="5" t="s">
        <v>135</v>
      </c>
      <c r="N72" s="3" t="s">
        <v>229</v>
      </c>
      <c r="O72" s="12">
        <v>42461</v>
      </c>
      <c r="P72" s="4">
        <f t="shared" si="1"/>
        <v>43191</v>
      </c>
      <c r="Q72" s="7" t="s">
        <v>40</v>
      </c>
      <c r="R72" s="6" t="str">
        <f>_xlfn.CONCAT(Q72,M72,C72)</f>
        <v>Novateur ElectricalAndhra PradeshPandla Munirathnam</v>
      </c>
    </row>
    <row r="73" spans="2:18">
      <c r="B73" s="1">
        <v>71</v>
      </c>
      <c r="C73" s="5" t="s">
        <v>195</v>
      </c>
      <c r="D73" s="1" t="s">
        <v>196</v>
      </c>
      <c r="E73" s="1" t="e">
        <v>#N/A</v>
      </c>
      <c r="F73" s="5" t="s">
        <v>38</v>
      </c>
      <c r="G73" s="1" t="s">
        <v>16</v>
      </c>
      <c r="H73" s="2">
        <v>3</v>
      </c>
      <c r="I73" s="1" t="s">
        <v>17</v>
      </c>
      <c r="J73" s="5" t="s">
        <v>221</v>
      </c>
      <c r="K73" s="5" t="s">
        <v>230</v>
      </c>
      <c r="L73" s="3" t="s">
        <v>82</v>
      </c>
      <c r="M73" s="5" t="s">
        <v>135</v>
      </c>
      <c r="N73" s="3" t="s">
        <v>231</v>
      </c>
      <c r="O73" s="12">
        <v>45194</v>
      </c>
      <c r="P73" s="4">
        <f t="shared" si="1"/>
        <v>45924</v>
      </c>
      <c r="Q73" s="7" t="s">
        <v>40</v>
      </c>
      <c r="R73" s="6" t="str">
        <f>_xlfn.CONCAT(Q73,M73,C73)</f>
        <v>Novateur ElectricalAndhra PradeshPandla Munirathnam</v>
      </c>
    </row>
    <row r="74" spans="2:18">
      <c r="B74" s="1">
        <v>72</v>
      </c>
      <c r="C74" s="5" t="s">
        <v>195</v>
      </c>
      <c r="D74" s="1" t="s">
        <v>196</v>
      </c>
      <c r="E74" s="1" t="e">
        <v>#N/A</v>
      </c>
      <c r="F74" s="5" t="s">
        <v>57</v>
      </c>
      <c r="G74" s="8" t="s">
        <v>19</v>
      </c>
      <c r="H74" s="2">
        <v>3</v>
      </c>
      <c r="I74" s="1" t="s">
        <v>17</v>
      </c>
      <c r="J74" s="5" t="s">
        <v>80</v>
      </c>
      <c r="K74" s="5" t="s">
        <v>232</v>
      </c>
      <c r="L74" s="3" t="s">
        <v>82</v>
      </c>
      <c r="M74" s="5" t="s">
        <v>135</v>
      </c>
      <c r="N74" s="3" t="s">
        <v>233</v>
      </c>
      <c r="O74" s="12">
        <v>43555</v>
      </c>
      <c r="P74" s="4">
        <f t="shared" si="1"/>
        <v>44285</v>
      </c>
      <c r="Q74" s="7" t="s">
        <v>40</v>
      </c>
      <c r="R74" s="6" t="str">
        <f>_xlfn.CONCAT(Q74,M74,C74)</f>
        <v>Novateur ElectricalAndhra PradeshPandla Munirathnam</v>
      </c>
    </row>
    <row r="75" spans="2:18">
      <c r="B75" s="1">
        <v>73</v>
      </c>
      <c r="C75" s="5" t="s">
        <v>195</v>
      </c>
      <c r="D75" s="1" t="s">
        <v>196</v>
      </c>
      <c r="E75" s="1" t="e">
        <v>#N/A</v>
      </c>
      <c r="F75" s="5" t="s">
        <v>57</v>
      </c>
      <c r="G75" s="8" t="s">
        <v>19</v>
      </c>
      <c r="H75" s="2">
        <v>3</v>
      </c>
      <c r="I75" s="1" t="s">
        <v>17</v>
      </c>
      <c r="J75" s="5" t="s">
        <v>80</v>
      </c>
      <c r="K75" s="5" t="s">
        <v>234</v>
      </c>
      <c r="L75" s="3" t="s">
        <v>82</v>
      </c>
      <c r="M75" s="5" t="s">
        <v>135</v>
      </c>
      <c r="N75" s="3" t="s">
        <v>235</v>
      </c>
      <c r="O75" s="12">
        <v>42844</v>
      </c>
      <c r="P75" s="4">
        <f t="shared" si="1"/>
        <v>43574</v>
      </c>
      <c r="Q75" s="7" t="s">
        <v>40</v>
      </c>
      <c r="R75" s="6" t="str">
        <f>_xlfn.CONCAT(Q75,M75,C75)</f>
        <v>Novateur ElectricalAndhra PradeshPandla Munirathnam</v>
      </c>
    </row>
    <row r="76" spans="2:18">
      <c r="B76" s="1">
        <v>74</v>
      </c>
      <c r="C76" s="5" t="s">
        <v>195</v>
      </c>
      <c r="D76" s="1" t="s">
        <v>196</v>
      </c>
      <c r="E76" s="1" t="e">
        <v>#N/A</v>
      </c>
      <c r="F76" s="5" t="s">
        <v>38</v>
      </c>
      <c r="G76" s="1" t="s">
        <v>16</v>
      </c>
      <c r="H76" s="2">
        <v>3</v>
      </c>
      <c r="I76" s="1" t="s">
        <v>17</v>
      </c>
      <c r="J76" s="5" t="s">
        <v>221</v>
      </c>
      <c r="K76" s="5" t="s">
        <v>236</v>
      </c>
      <c r="L76" s="3" t="s">
        <v>82</v>
      </c>
      <c r="M76" s="5" t="s">
        <v>135</v>
      </c>
      <c r="N76" s="3" t="s">
        <v>237</v>
      </c>
      <c r="O76" s="12">
        <v>45038</v>
      </c>
      <c r="P76" s="4">
        <f t="shared" si="1"/>
        <v>45768</v>
      </c>
      <c r="Q76" s="7" t="s">
        <v>40</v>
      </c>
      <c r="R76" s="6" t="str">
        <f>_xlfn.CONCAT(Q76,M76,C76)</f>
        <v>Novateur ElectricalAndhra PradeshPandla Munirathnam</v>
      </c>
    </row>
    <row r="77" spans="2:18">
      <c r="B77" s="1">
        <v>75</v>
      </c>
      <c r="C77" s="5" t="s">
        <v>195</v>
      </c>
      <c r="D77" s="1" t="s">
        <v>196</v>
      </c>
      <c r="E77" s="1" t="e">
        <v>#N/A</v>
      </c>
      <c r="F77" s="5" t="s">
        <v>38</v>
      </c>
      <c r="G77" s="1" t="s">
        <v>16</v>
      </c>
      <c r="H77" s="2">
        <v>3</v>
      </c>
      <c r="I77" s="1" t="s">
        <v>17</v>
      </c>
      <c r="J77" s="5" t="s">
        <v>221</v>
      </c>
      <c r="K77" s="5" t="s">
        <v>238</v>
      </c>
      <c r="L77" s="3" t="s">
        <v>82</v>
      </c>
      <c r="M77" s="5" t="s">
        <v>135</v>
      </c>
      <c r="N77" s="3" t="s">
        <v>239</v>
      </c>
      <c r="O77" s="12">
        <v>45199</v>
      </c>
      <c r="P77" s="4">
        <f t="shared" si="1"/>
        <v>45929</v>
      </c>
      <c r="Q77" s="7" t="s">
        <v>40</v>
      </c>
      <c r="R77" s="6" t="str">
        <f>_xlfn.CONCAT(Q77,M77,C77)</f>
        <v>Novateur ElectricalAndhra PradeshPandla Munirathnam</v>
      </c>
    </row>
    <row r="78" spans="2:18">
      <c r="B78" s="1">
        <v>76</v>
      </c>
      <c r="C78" s="5" t="s">
        <v>195</v>
      </c>
      <c r="D78" s="1" t="s">
        <v>196</v>
      </c>
      <c r="E78" s="1" t="e">
        <v>#N/A</v>
      </c>
      <c r="F78" s="5" t="s">
        <v>27</v>
      </c>
      <c r="G78" s="1" t="s">
        <v>16</v>
      </c>
      <c r="H78" s="2">
        <v>3</v>
      </c>
      <c r="I78" s="1" t="s">
        <v>17</v>
      </c>
      <c r="J78" s="5" t="s">
        <v>240</v>
      </c>
      <c r="K78" s="5" t="s">
        <v>241</v>
      </c>
      <c r="L78" s="3" t="s">
        <v>82</v>
      </c>
      <c r="M78" s="5" t="s">
        <v>135</v>
      </c>
      <c r="N78" s="3" t="s">
        <v>242</v>
      </c>
      <c r="O78" s="12">
        <v>43057</v>
      </c>
      <c r="P78" s="4">
        <f t="shared" si="1"/>
        <v>43787</v>
      </c>
      <c r="Q78" s="7" t="s">
        <v>40</v>
      </c>
      <c r="R78" s="6" t="str">
        <f>_xlfn.CONCAT(Q78,M78,C78)</f>
        <v>Novateur ElectricalAndhra PradeshPandla Munirathnam</v>
      </c>
    </row>
    <row r="79" spans="2:18">
      <c r="B79" s="1">
        <v>77</v>
      </c>
      <c r="C79" s="5" t="s">
        <v>195</v>
      </c>
      <c r="D79" s="1" t="s">
        <v>196</v>
      </c>
      <c r="E79" s="1" t="e">
        <v>#N/A</v>
      </c>
      <c r="F79" s="5" t="s">
        <v>22</v>
      </c>
      <c r="G79" s="1" t="s">
        <v>16</v>
      </c>
      <c r="H79" s="2">
        <v>6</v>
      </c>
      <c r="I79" s="1" t="s">
        <v>17</v>
      </c>
      <c r="J79" s="5" t="s">
        <v>200</v>
      </c>
      <c r="K79" s="5" t="s">
        <v>243</v>
      </c>
      <c r="L79" s="3" t="s">
        <v>82</v>
      </c>
      <c r="M79" s="5" t="s">
        <v>135</v>
      </c>
      <c r="N79" s="3" t="s">
        <v>244</v>
      </c>
      <c r="O79" s="12">
        <v>43423</v>
      </c>
      <c r="P79" s="4">
        <f t="shared" si="1"/>
        <v>44153</v>
      </c>
      <c r="Q79" s="7" t="s">
        <v>40</v>
      </c>
      <c r="R79" s="6" t="str">
        <f>_xlfn.CONCAT(Q79,M79,C79)</f>
        <v>Novateur ElectricalAndhra PradeshPandla Munirathnam</v>
      </c>
    </row>
    <row r="80" spans="2:18">
      <c r="B80" s="1">
        <v>78</v>
      </c>
      <c r="C80" s="5" t="s">
        <v>195</v>
      </c>
      <c r="D80" s="1" t="s">
        <v>196</v>
      </c>
      <c r="E80" s="1" t="e">
        <v>#N/A</v>
      </c>
      <c r="F80" s="5" t="s">
        <v>22</v>
      </c>
      <c r="G80" s="1" t="s">
        <v>16</v>
      </c>
      <c r="H80" s="2">
        <v>6</v>
      </c>
      <c r="I80" s="1" t="s">
        <v>17</v>
      </c>
      <c r="J80" s="5" t="s">
        <v>200</v>
      </c>
      <c r="K80" s="5" t="s">
        <v>245</v>
      </c>
      <c r="L80" s="3" t="s">
        <v>82</v>
      </c>
      <c r="M80" s="5" t="s">
        <v>135</v>
      </c>
      <c r="N80" s="3" t="s">
        <v>246</v>
      </c>
      <c r="O80" s="12">
        <v>43369</v>
      </c>
      <c r="P80" s="4">
        <f t="shared" si="1"/>
        <v>44099</v>
      </c>
      <c r="Q80" s="7" t="s">
        <v>40</v>
      </c>
      <c r="R80" s="6" t="str">
        <f>_xlfn.CONCAT(Q80,M80,C80)</f>
        <v>Novateur ElectricalAndhra PradeshPandla Munirathnam</v>
      </c>
    </row>
    <row r="81" spans="2:18">
      <c r="B81" s="1">
        <v>79</v>
      </c>
      <c r="C81" s="5" t="s">
        <v>195</v>
      </c>
      <c r="D81" s="1" t="s">
        <v>196</v>
      </c>
      <c r="E81" s="1" t="e">
        <v>#N/A</v>
      </c>
      <c r="F81" s="5" t="s">
        <v>38</v>
      </c>
      <c r="G81" s="1" t="s">
        <v>16</v>
      </c>
      <c r="H81" s="2">
        <v>3</v>
      </c>
      <c r="I81" s="1" t="s">
        <v>17</v>
      </c>
      <c r="J81" s="5" t="s">
        <v>221</v>
      </c>
      <c r="K81" s="5" t="s">
        <v>247</v>
      </c>
      <c r="L81" s="3" t="s">
        <v>82</v>
      </c>
      <c r="M81" s="5" t="s">
        <v>135</v>
      </c>
      <c r="N81" s="3" t="s">
        <v>248</v>
      </c>
      <c r="O81" s="12">
        <v>45199</v>
      </c>
      <c r="P81" s="4">
        <f t="shared" si="1"/>
        <v>45929</v>
      </c>
      <c r="Q81" s="7" t="s">
        <v>40</v>
      </c>
      <c r="R81" s="6" t="str">
        <f>_xlfn.CONCAT(Q81,M81,C81)</f>
        <v>Novateur ElectricalAndhra PradeshPandla Munirathnam</v>
      </c>
    </row>
    <row r="82" spans="2:18">
      <c r="B82" s="1">
        <v>80</v>
      </c>
      <c r="C82" s="5" t="s">
        <v>195</v>
      </c>
      <c r="D82" s="1" t="s">
        <v>196</v>
      </c>
      <c r="E82" s="1" t="e">
        <v>#N/A</v>
      </c>
      <c r="F82" s="5" t="s">
        <v>27</v>
      </c>
      <c r="G82" s="1" t="s">
        <v>16</v>
      </c>
      <c r="H82" s="2">
        <v>3</v>
      </c>
      <c r="I82" s="1" t="s">
        <v>17</v>
      </c>
      <c r="J82" s="5" t="s">
        <v>240</v>
      </c>
      <c r="K82" s="5" t="s">
        <v>249</v>
      </c>
      <c r="L82" s="3" t="s">
        <v>82</v>
      </c>
      <c r="M82" s="5" t="s">
        <v>135</v>
      </c>
      <c r="N82" s="3" t="s">
        <v>250</v>
      </c>
      <c r="O82" s="12">
        <v>43273</v>
      </c>
      <c r="P82" s="4">
        <f t="shared" si="1"/>
        <v>44003</v>
      </c>
      <c r="Q82" s="7" t="s">
        <v>40</v>
      </c>
      <c r="R82" s="6" t="str">
        <f>_xlfn.CONCAT(Q82,M82,C82)</f>
        <v>Novateur ElectricalAndhra PradeshPandla Munirathnam</v>
      </c>
    </row>
    <row r="83" spans="2:18">
      <c r="B83" s="1">
        <v>81</v>
      </c>
      <c r="C83" s="5" t="s">
        <v>195</v>
      </c>
      <c r="D83" s="1" t="s">
        <v>196</v>
      </c>
      <c r="E83" s="1" t="e">
        <v>#N/A</v>
      </c>
      <c r="F83" s="5" t="s">
        <v>27</v>
      </c>
      <c r="G83" s="1" t="s">
        <v>16</v>
      </c>
      <c r="H83" s="2">
        <v>3</v>
      </c>
      <c r="I83" s="1" t="s">
        <v>17</v>
      </c>
      <c r="J83" s="5" t="s">
        <v>240</v>
      </c>
      <c r="K83" s="5" t="s">
        <v>249</v>
      </c>
      <c r="L83" s="3" t="s">
        <v>82</v>
      </c>
      <c r="M83" s="5" t="s">
        <v>135</v>
      </c>
      <c r="N83" s="3" t="s">
        <v>250</v>
      </c>
      <c r="O83" s="12">
        <v>43324</v>
      </c>
      <c r="P83" s="4">
        <f t="shared" si="1"/>
        <v>44054</v>
      </c>
      <c r="Q83" s="7" t="s">
        <v>40</v>
      </c>
      <c r="R83" s="6" t="str">
        <f>_xlfn.CONCAT(Q83,M83,C83)</f>
        <v>Novateur ElectricalAndhra PradeshPandla Munirathnam</v>
      </c>
    </row>
    <row r="84" spans="2:18">
      <c r="B84" s="1">
        <v>82</v>
      </c>
      <c r="C84" s="5" t="s">
        <v>195</v>
      </c>
      <c r="D84" s="1" t="s">
        <v>196</v>
      </c>
      <c r="E84" s="1" t="e">
        <v>#N/A</v>
      </c>
      <c r="F84" s="5" t="s">
        <v>18</v>
      </c>
      <c r="G84" s="8" t="s">
        <v>19</v>
      </c>
      <c r="H84" s="2">
        <v>3</v>
      </c>
      <c r="I84" s="1" t="s">
        <v>17</v>
      </c>
      <c r="J84" s="5" t="s">
        <v>80</v>
      </c>
      <c r="K84" s="5" t="s">
        <v>251</v>
      </c>
      <c r="L84" s="3" t="s">
        <v>82</v>
      </c>
      <c r="M84" s="5" t="s">
        <v>135</v>
      </c>
      <c r="N84" s="3" t="s">
        <v>252</v>
      </c>
      <c r="O84" s="12">
        <v>43165</v>
      </c>
      <c r="P84" s="4">
        <f t="shared" si="1"/>
        <v>43895</v>
      </c>
      <c r="Q84" s="7" t="s">
        <v>40</v>
      </c>
      <c r="R84" s="6" t="str">
        <f>_xlfn.CONCAT(Q84,M84,C84)</f>
        <v>Novateur ElectricalAndhra PradeshPandla Munirathnam</v>
      </c>
    </row>
    <row r="85" spans="2:18">
      <c r="B85" s="1">
        <v>83</v>
      </c>
      <c r="C85" s="5" t="s">
        <v>195</v>
      </c>
      <c r="D85" s="1" t="s">
        <v>196</v>
      </c>
      <c r="E85" s="1" t="e">
        <v>#N/A</v>
      </c>
      <c r="F85" s="5" t="s">
        <v>32</v>
      </c>
      <c r="G85" s="1" t="s">
        <v>16</v>
      </c>
      <c r="H85" s="2">
        <v>3</v>
      </c>
      <c r="I85" s="1" t="s">
        <v>17</v>
      </c>
      <c r="J85" s="5" t="s">
        <v>205</v>
      </c>
      <c r="K85" s="5" t="s">
        <v>253</v>
      </c>
      <c r="L85" s="3" t="s">
        <v>82</v>
      </c>
      <c r="M85" s="5" t="s">
        <v>135</v>
      </c>
      <c r="N85" s="3" t="s">
        <v>254</v>
      </c>
      <c r="O85" s="13">
        <v>42549</v>
      </c>
      <c r="P85" s="4">
        <f t="shared" si="1"/>
        <v>43279</v>
      </c>
      <c r="Q85" s="7" t="s">
        <v>40</v>
      </c>
      <c r="R85" s="6" t="str">
        <f>_xlfn.CONCAT(Q85,M85,C85)</f>
        <v>Novateur ElectricalAndhra PradeshPandla Munirathnam</v>
      </c>
    </row>
    <row r="86" spans="2:18">
      <c r="B86" s="1">
        <v>84</v>
      </c>
      <c r="C86" s="5" t="s">
        <v>195</v>
      </c>
      <c r="D86" s="1" t="s">
        <v>196</v>
      </c>
      <c r="E86" s="1" t="e">
        <v>#N/A</v>
      </c>
      <c r="F86" s="5" t="s">
        <v>255</v>
      </c>
      <c r="G86" s="8" t="s">
        <v>19</v>
      </c>
      <c r="H86" s="1">
        <v>20</v>
      </c>
      <c r="I86" s="1" t="s">
        <v>17</v>
      </c>
      <c r="J86" s="5" t="s">
        <v>182</v>
      </c>
      <c r="K86" s="5" t="s">
        <v>256</v>
      </c>
      <c r="L86" s="3" t="s">
        <v>82</v>
      </c>
      <c r="M86" s="5" t="s">
        <v>135</v>
      </c>
      <c r="N86" s="3" t="s">
        <v>257</v>
      </c>
      <c r="O86" s="12">
        <v>43343</v>
      </c>
      <c r="P86" s="4">
        <f t="shared" si="1"/>
        <v>44073</v>
      </c>
      <c r="Q86" s="7" t="s">
        <v>40</v>
      </c>
      <c r="R86" s="6" t="str">
        <f>_xlfn.CONCAT(Q86,M86,C86)</f>
        <v>Novateur ElectricalAndhra PradeshPandla Munirathnam</v>
      </c>
    </row>
    <row r="87" spans="2:18">
      <c r="B87" s="1">
        <v>85</v>
      </c>
      <c r="C87" s="5" t="s">
        <v>195</v>
      </c>
      <c r="D87" s="1" t="s">
        <v>196</v>
      </c>
      <c r="E87" s="1" t="e">
        <v>#N/A</v>
      </c>
      <c r="F87" s="5" t="s">
        <v>23</v>
      </c>
      <c r="G87" s="3" t="s">
        <v>24</v>
      </c>
      <c r="H87" s="2">
        <v>3</v>
      </c>
      <c r="I87" s="1" t="s">
        <v>17</v>
      </c>
      <c r="J87" s="5" t="s">
        <v>83</v>
      </c>
      <c r="K87" s="5" t="s">
        <v>258</v>
      </c>
      <c r="L87" s="3" t="s">
        <v>82</v>
      </c>
      <c r="M87" s="5" t="s">
        <v>135</v>
      </c>
      <c r="N87" s="3" t="s">
        <v>259</v>
      </c>
      <c r="O87" s="12">
        <v>45357</v>
      </c>
      <c r="P87" s="4">
        <f t="shared" si="1"/>
        <v>46087</v>
      </c>
      <c r="Q87" s="7" t="s">
        <v>45</v>
      </c>
      <c r="R87" s="6" t="str">
        <f>_xlfn.CONCAT(Q87,M87,C87)</f>
        <v>Best PowerAndhra PradeshPandla Munirathnam</v>
      </c>
    </row>
    <row r="88" spans="2:18">
      <c r="B88" s="1">
        <v>86</v>
      </c>
      <c r="C88" s="5" t="s">
        <v>260</v>
      </c>
      <c r="D88" s="1" t="s">
        <v>261</v>
      </c>
      <c r="E88" s="1" t="s">
        <v>262</v>
      </c>
      <c r="F88" s="5" t="s">
        <v>18</v>
      </c>
      <c r="G88" s="8" t="s">
        <v>19</v>
      </c>
      <c r="H88" s="2">
        <v>3</v>
      </c>
      <c r="I88" s="1" t="s">
        <v>17</v>
      </c>
      <c r="J88" s="5" t="s">
        <v>263</v>
      </c>
      <c r="K88" s="5" t="s">
        <v>264</v>
      </c>
      <c r="L88" s="3" t="s">
        <v>82</v>
      </c>
      <c r="M88" s="5" t="s">
        <v>91</v>
      </c>
      <c r="N88" s="3" t="s">
        <v>265</v>
      </c>
      <c r="O88" s="12">
        <v>43465</v>
      </c>
      <c r="P88" s="4">
        <f t="shared" si="1"/>
        <v>44195</v>
      </c>
      <c r="Q88" s="7" t="s">
        <v>40</v>
      </c>
      <c r="R88" s="6" t="str">
        <f>_xlfn.CONCAT(Q88,M88,C88)</f>
        <v>Novateur ElectricalChhattisgarhRanjana Gupta</v>
      </c>
    </row>
    <row r="89" spans="2:18">
      <c r="B89" s="1">
        <v>87</v>
      </c>
      <c r="C89" s="5" t="s">
        <v>260</v>
      </c>
      <c r="D89" s="1" t="s">
        <v>261</v>
      </c>
      <c r="E89" s="1" t="s">
        <v>262</v>
      </c>
      <c r="F89" s="5" t="s">
        <v>56</v>
      </c>
      <c r="G89" s="8" t="s">
        <v>19</v>
      </c>
      <c r="H89" s="2">
        <v>3</v>
      </c>
      <c r="I89" s="1" t="s">
        <v>17</v>
      </c>
      <c r="J89" s="5" t="s">
        <v>263</v>
      </c>
      <c r="K89" s="5" t="s">
        <v>266</v>
      </c>
      <c r="L89" s="3" t="s">
        <v>82</v>
      </c>
      <c r="M89" s="5" t="s">
        <v>91</v>
      </c>
      <c r="N89" s="3" t="s">
        <v>267</v>
      </c>
      <c r="O89" s="12">
        <v>43034</v>
      </c>
      <c r="P89" s="4">
        <f t="shared" si="1"/>
        <v>43764</v>
      </c>
      <c r="Q89" s="7" t="s">
        <v>40</v>
      </c>
      <c r="R89" s="6" t="str">
        <f>_xlfn.CONCAT(Q89,M89,C89)</f>
        <v>Novateur ElectricalChhattisgarhRanjana Gupta</v>
      </c>
    </row>
    <row r="90" spans="2:18">
      <c r="B90" s="1">
        <v>88</v>
      </c>
      <c r="C90" s="5" t="s">
        <v>260</v>
      </c>
      <c r="D90" s="1" t="s">
        <v>261</v>
      </c>
      <c r="E90" s="1" t="s">
        <v>262</v>
      </c>
      <c r="F90" s="5" t="s">
        <v>35</v>
      </c>
      <c r="G90" s="1" t="s">
        <v>16</v>
      </c>
      <c r="H90" s="2">
        <v>6</v>
      </c>
      <c r="I90" s="1" t="s">
        <v>17</v>
      </c>
      <c r="J90" s="5" t="s">
        <v>43</v>
      </c>
      <c r="K90" s="5" t="s">
        <v>268</v>
      </c>
      <c r="L90" s="3" t="s">
        <v>82</v>
      </c>
      <c r="M90" s="5" t="s">
        <v>91</v>
      </c>
      <c r="N90" s="3" t="s">
        <v>269</v>
      </c>
      <c r="O90" s="12">
        <v>42532</v>
      </c>
      <c r="P90" s="4">
        <f t="shared" si="1"/>
        <v>43262</v>
      </c>
      <c r="Q90" s="7" t="s">
        <v>40</v>
      </c>
      <c r="R90" s="6" t="str">
        <f>_xlfn.CONCAT(Q90,M90,C90)</f>
        <v>Novateur ElectricalChhattisgarhRanjana Gupta</v>
      </c>
    </row>
    <row r="91" spans="2:18">
      <c r="B91" s="1">
        <v>89</v>
      </c>
      <c r="C91" s="5" t="s">
        <v>260</v>
      </c>
      <c r="D91" s="1" t="s">
        <v>261</v>
      </c>
      <c r="E91" s="1" t="s">
        <v>262</v>
      </c>
      <c r="F91" s="5" t="s">
        <v>61</v>
      </c>
      <c r="G91" s="1" t="s">
        <v>16</v>
      </c>
      <c r="H91" s="2">
        <v>6</v>
      </c>
      <c r="I91" s="1" t="s">
        <v>17</v>
      </c>
      <c r="J91" s="5" t="s">
        <v>43</v>
      </c>
      <c r="K91" s="5" t="s">
        <v>268</v>
      </c>
      <c r="L91" s="3" t="s">
        <v>82</v>
      </c>
      <c r="M91" s="5" t="s">
        <v>91</v>
      </c>
      <c r="N91" s="3" t="s">
        <v>269</v>
      </c>
      <c r="O91" s="12">
        <v>44800</v>
      </c>
      <c r="P91" s="4">
        <f t="shared" si="1"/>
        <v>45530</v>
      </c>
      <c r="Q91" s="7" t="s">
        <v>40</v>
      </c>
      <c r="R91" s="6" t="str">
        <f>_xlfn.CONCAT(Q91,M91,C91)</f>
        <v>Novateur ElectricalChhattisgarhRanjana Gupta</v>
      </c>
    </row>
    <row r="92" spans="2:18">
      <c r="B92" s="1">
        <v>90</v>
      </c>
      <c r="C92" s="5" t="s">
        <v>260</v>
      </c>
      <c r="D92" s="1" t="s">
        <v>261</v>
      </c>
      <c r="E92" s="1" t="s">
        <v>262</v>
      </c>
      <c r="F92" s="5" t="s">
        <v>47</v>
      </c>
      <c r="G92" s="3" t="s">
        <v>24</v>
      </c>
      <c r="H92" s="2">
        <v>6</v>
      </c>
      <c r="I92" s="1" t="s">
        <v>17</v>
      </c>
      <c r="J92" s="5" t="s">
        <v>43</v>
      </c>
      <c r="K92" s="5" t="s">
        <v>270</v>
      </c>
      <c r="L92" s="3" t="s">
        <v>82</v>
      </c>
      <c r="M92" s="5" t="s">
        <v>91</v>
      </c>
      <c r="N92" s="3" t="s">
        <v>271</v>
      </c>
      <c r="O92" s="12">
        <v>45184</v>
      </c>
      <c r="P92" s="4">
        <f t="shared" si="1"/>
        <v>45914</v>
      </c>
      <c r="Q92" s="7" t="s">
        <v>45</v>
      </c>
      <c r="R92" s="6" t="str">
        <f>_xlfn.CONCAT(Q92,M92,C92)</f>
        <v>Best PowerChhattisgarhRanjana Gupta</v>
      </c>
    </row>
    <row r="93" spans="2:18">
      <c r="B93" s="1">
        <v>91</v>
      </c>
      <c r="C93" s="5" t="s">
        <v>260</v>
      </c>
      <c r="D93" s="1" t="s">
        <v>261</v>
      </c>
      <c r="E93" s="1" t="s">
        <v>262</v>
      </c>
      <c r="F93" s="5" t="s">
        <v>47</v>
      </c>
      <c r="G93" s="3" t="s">
        <v>24</v>
      </c>
      <c r="H93" s="2">
        <v>6</v>
      </c>
      <c r="I93" s="1" t="s">
        <v>17</v>
      </c>
      <c r="J93" s="5" t="s">
        <v>43</v>
      </c>
      <c r="K93" s="5" t="s">
        <v>272</v>
      </c>
      <c r="L93" s="3" t="s">
        <v>82</v>
      </c>
      <c r="M93" s="5" t="s">
        <v>91</v>
      </c>
      <c r="N93" s="3" t="s">
        <v>273</v>
      </c>
      <c r="O93" s="12">
        <v>45184</v>
      </c>
      <c r="P93" s="4">
        <f t="shared" si="1"/>
        <v>45914</v>
      </c>
      <c r="Q93" s="7" t="s">
        <v>45</v>
      </c>
      <c r="R93" s="6" t="str">
        <f>_xlfn.CONCAT(Q93,M93,C93)</f>
        <v>Best PowerChhattisgarhRanjana Gupta</v>
      </c>
    </row>
    <row r="94" spans="2:18">
      <c r="B94" s="1">
        <v>92</v>
      </c>
      <c r="C94" s="5" t="s">
        <v>260</v>
      </c>
      <c r="D94" s="1" t="s">
        <v>261</v>
      </c>
      <c r="E94" s="1" t="s">
        <v>262</v>
      </c>
      <c r="F94" s="5" t="s">
        <v>31</v>
      </c>
      <c r="G94" s="8" t="s">
        <v>19</v>
      </c>
      <c r="H94" s="2">
        <v>3</v>
      </c>
      <c r="I94" s="1" t="s">
        <v>17</v>
      </c>
      <c r="J94" s="5" t="s">
        <v>263</v>
      </c>
      <c r="K94" s="5" t="s">
        <v>274</v>
      </c>
      <c r="L94" s="3" t="s">
        <v>82</v>
      </c>
      <c r="M94" s="5" t="s">
        <v>91</v>
      </c>
      <c r="N94" s="3" t="s">
        <v>275</v>
      </c>
      <c r="O94" s="12">
        <v>43555</v>
      </c>
      <c r="P94" s="4">
        <f t="shared" si="1"/>
        <v>44285</v>
      </c>
      <c r="Q94" s="7" t="s">
        <v>40</v>
      </c>
      <c r="R94" s="6" t="str">
        <f>_xlfn.CONCAT(Q94,M94,C94)</f>
        <v>Novateur ElectricalChhattisgarhRanjana Gupta</v>
      </c>
    </row>
    <row r="95" spans="2:18">
      <c r="B95" s="1">
        <v>93</v>
      </c>
      <c r="C95" s="5" t="s">
        <v>260</v>
      </c>
      <c r="D95" s="1" t="s">
        <v>261</v>
      </c>
      <c r="E95" s="1" t="s">
        <v>262</v>
      </c>
      <c r="F95" s="5" t="s">
        <v>33</v>
      </c>
      <c r="G95" s="3" t="s">
        <v>34</v>
      </c>
      <c r="H95" s="2">
        <v>3</v>
      </c>
      <c r="I95" s="1" t="s">
        <v>17</v>
      </c>
      <c r="J95" s="5" t="s">
        <v>263</v>
      </c>
      <c r="K95" s="5" t="s">
        <v>276</v>
      </c>
      <c r="L95" s="3" t="s">
        <v>82</v>
      </c>
      <c r="M95" s="5" t="s">
        <v>91</v>
      </c>
      <c r="N95" s="3" t="s">
        <v>277</v>
      </c>
      <c r="O95" s="12">
        <v>45691</v>
      </c>
      <c r="P95" s="4">
        <f t="shared" si="1"/>
        <v>46421</v>
      </c>
      <c r="Q95" s="7" t="s">
        <v>25</v>
      </c>
      <c r="R95" s="6" t="str">
        <f>_xlfn.CONCAT(Q95,M95,C95)</f>
        <v>Under WarrantyChhattisgarhRanjana Gupta</v>
      </c>
    </row>
    <row r="96" spans="2:18">
      <c r="B96" s="1">
        <v>94</v>
      </c>
      <c r="C96" s="5" t="s">
        <v>260</v>
      </c>
      <c r="D96" s="1" t="s">
        <v>261</v>
      </c>
      <c r="E96" s="1" t="s">
        <v>262</v>
      </c>
      <c r="F96" s="5" t="s">
        <v>18</v>
      </c>
      <c r="G96" s="8" t="s">
        <v>19</v>
      </c>
      <c r="H96" s="2">
        <v>3</v>
      </c>
      <c r="I96" s="1" t="s">
        <v>17</v>
      </c>
      <c r="J96" s="5" t="s">
        <v>263</v>
      </c>
      <c r="K96" s="5" t="s">
        <v>278</v>
      </c>
      <c r="L96" s="3" t="s">
        <v>82</v>
      </c>
      <c r="M96" s="5" t="s">
        <v>91</v>
      </c>
      <c r="N96" s="3" t="s">
        <v>279</v>
      </c>
      <c r="O96" s="12">
        <v>43465</v>
      </c>
      <c r="P96" s="4">
        <f t="shared" si="1"/>
        <v>44195</v>
      </c>
      <c r="Q96" s="7" t="s">
        <v>40</v>
      </c>
      <c r="R96" s="6" t="str">
        <f>_xlfn.CONCAT(Q96,M96,C96)</f>
        <v>Novateur ElectricalChhattisgarhRanjana Gupta</v>
      </c>
    </row>
    <row r="97" spans="2:18">
      <c r="B97" s="1">
        <v>95</v>
      </c>
      <c r="C97" s="5" t="s">
        <v>260</v>
      </c>
      <c r="D97" s="1" t="s">
        <v>261</v>
      </c>
      <c r="E97" s="1" t="s">
        <v>262</v>
      </c>
      <c r="F97" s="5" t="s">
        <v>22</v>
      </c>
      <c r="G97" s="1" t="s">
        <v>16</v>
      </c>
      <c r="H97" s="2">
        <v>6</v>
      </c>
      <c r="I97" s="1" t="s">
        <v>17</v>
      </c>
      <c r="J97" s="5" t="s">
        <v>43</v>
      </c>
      <c r="K97" s="5" t="s">
        <v>280</v>
      </c>
      <c r="L97" s="3" t="s">
        <v>82</v>
      </c>
      <c r="M97" s="5" t="s">
        <v>91</v>
      </c>
      <c r="N97" s="3" t="s">
        <v>281</v>
      </c>
      <c r="O97" s="12">
        <v>43397</v>
      </c>
      <c r="P97" s="4">
        <f t="shared" si="1"/>
        <v>44127</v>
      </c>
      <c r="Q97" s="7" t="s">
        <v>40</v>
      </c>
      <c r="R97" s="6" t="str">
        <f>_xlfn.CONCAT(Q97,M97,C97)</f>
        <v>Novateur ElectricalChhattisgarhRanjana Gupta</v>
      </c>
    </row>
    <row r="98" spans="2:18">
      <c r="B98" s="1">
        <v>96</v>
      </c>
      <c r="C98" s="5" t="s">
        <v>260</v>
      </c>
      <c r="D98" s="1" t="s">
        <v>261</v>
      </c>
      <c r="E98" s="1" t="s">
        <v>262</v>
      </c>
      <c r="F98" s="5" t="s">
        <v>20</v>
      </c>
      <c r="G98" s="8" t="s">
        <v>19</v>
      </c>
      <c r="H98" s="2">
        <v>6</v>
      </c>
      <c r="I98" s="1" t="s">
        <v>17</v>
      </c>
      <c r="J98" s="5" t="s">
        <v>43</v>
      </c>
      <c r="K98" s="5" t="s">
        <v>282</v>
      </c>
      <c r="L98" s="3" t="s">
        <v>82</v>
      </c>
      <c r="M98" s="5" t="s">
        <v>91</v>
      </c>
      <c r="N98" s="3" t="s">
        <v>283</v>
      </c>
      <c r="O98" s="12">
        <v>43634</v>
      </c>
      <c r="P98" s="4">
        <f t="shared" si="1"/>
        <v>44364</v>
      </c>
      <c r="Q98" s="7" t="s">
        <v>40</v>
      </c>
      <c r="R98" s="6" t="str">
        <f>_xlfn.CONCAT(Q98,M98,C98)</f>
        <v>Novateur ElectricalChhattisgarhRanjana Gupta</v>
      </c>
    </row>
    <row r="99" spans="2:18">
      <c r="B99" s="1">
        <v>97</v>
      </c>
      <c r="C99" s="5" t="s">
        <v>260</v>
      </c>
      <c r="D99" s="1" t="s">
        <v>261</v>
      </c>
      <c r="E99" s="1" t="s">
        <v>262</v>
      </c>
      <c r="F99" s="5" t="s">
        <v>33</v>
      </c>
      <c r="G99" s="3" t="s">
        <v>34</v>
      </c>
      <c r="H99" s="2">
        <v>3</v>
      </c>
      <c r="I99" s="1" t="s">
        <v>17</v>
      </c>
      <c r="J99" s="5" t="s">
        <v>263</v>
      </c>
      <c r="K99" s="5" t="s">
        <v>284</v>
      </c>
      <c r="L99" s="3" t="s">
        <v>82</v>
      </c>
      <c r="M99" s="5" t="s">
        <v>91</v>
      </c>
      <c r="N99" s="3" t="s">
        <v>285</v>
      </c>
      <c r="O99" s="12">
        <v>45206</v>
      </c>
      <c r="P99" s="4">
        <f t="shared" si="1"/>
        <v>45936</v>
      </c>
      <c r="Q99" s="9" t="s">
        <v>34</v>
      </c>
      <c r="R99" s="6" t="str">
        <f>_xlfn.CONCAT(Q99,M99,C99)</f>
        <v>Fuji ElectricChhattisgarhRanjana Gupta</v>
      </c>
    </row>
    <row r="100" spans="2:18">
      <c r="B100" s="1">
        <v>98</v>
      </c>
      <c r="C100" s="5" t="s">
        <v>260</v>
      </c>
      <c r="D100" s="1" t="s">
        <v>261</v>
      </c>
      <c r="E100" s="1" t="s">
        <v>262</v>
      </c>
      <c r="F100" s="5" t="s">
        <v>20</v>
      </c>
      <c r="G100" s="8" t="s">
        <v>19</v>
      </c>
      <c r="H100" s="2">
        <v>6</v>
      </c>
      <c r="I100" s="1" t="s">
        <v>17</v>
      </c>
      <c r="J100" s="5" t="s">
        <v>43</v>
      </c>
      <c r="K100" s="5" t="s">
        <v>286</v>
      </c>
      <c r="L100" s="3" t="s">
        <v>82</v>
      </c>
      <c r="M100" s="5" t="s">
        <v>91</v>
      </c>
      <c r="N100" s="3" t="s">
        <v>287</v>
      </c>
      <c r="O100" s="12">
        <v>43628</v>
      </c>
      <c r="P100" s="4">
        <f t="shared" si="1"/>
        <v>44358</v>
      </c>
      <c r="Q100" s="7" t="s">
        <v>40</v>
      </c>
      <c r="R100" s="6" t="str">
        <f>_xlfn.CONCAT(Q100,M100,C100)</f>
        <v>Novateur ElectricalChhattisgarhRanjana Gupta</v>
      </c>
    </row>
    <row r="101" spans="2:18">
      <c r="B101" s="1">
        <v>99</v>
      </c>
      <c r="C101" s="5" t="s">
        <v>260</v>
      </c>
      <c r="D101" s="1" t="s">
        <v>261</v>
      </c>
      <c r="E101" s="1" t="s">
        <v>262</v>
      </c>
      <c r="F101" s="5" t="s">
        <v>33</v>
      </c>
      <c r="G101" s="3" t="s">
        <v>39</v>
      </c>
      <c r="H101" s="2">
        <v>3</v>
      </c>
      <c r="I101" s="1" t="s">
        <v>17</v>
      </c>
      <c r="J101" s="5" t="s">
        <v>263</v>
      </c>
      <c r="K101" s="5" t="s">
        <v>288</v>
      </c>
      <c r="L101" s="3" t="s">
        <v>82</v>
      </c>
      <c r="M101" s="5" t="s">
        <v>91</v>
      </c>
      <c r="N101" s="3" t="s">
        <v>289</v>
      </c>
      <c r="O101" s="12">
        <v>45278</v>
      </c>
      <c r="P101" s="4">
        <f t="shared" si="1"/>
        <v>46008</v>
      </c>
      <c r="Q101" s="7" t="s">
        <v>40</v>
      </c>
      <c r="R101" s="6" t="str">
        <f>_xlfn.CONCAT(Q101,M101,C101)</f>
        <v>Novateur ElectricalChhattisgarhRanjana Gupta</v>
      </c>
    </row>
    <row r="102" spans="2:18">
      <c r="B102" s="1">
        <v>100</v>
      </c>
      <c r="C102" s="5" t="s">
        <v>260</v>
      </c>
      <c r="D102" s="1" t="s">
        <v>261</v>
      </c>
      <c r="E102" s="1" t="s">
        <v>262</v>
      </c>
      <c r="F102" s="5" t="s">
        <v>56</v>
      </c>
      <c r="G102" s="8" t="s">
        <v>19</v>
      </c>
      <c r="H102" s="2">
        <v>3</v>
      </c>
      <c r="I102" s="1" t="s">
        <v>17</v>
      </c>
      <c r="J102" s="5" t="s">
        <v>263</v>
      </c>
      <c r="K102" s="5" t="s">
        <v>290</v>
      </c>
      <c r="L102" s="3" t="s">
        <v>82</v>
      </c>
      <c r="M102" s="5" t="s">
        <v>91</v>
      </c>
      <c r="N102" s="3" t="s">
        <v>291</v>
      </c>
      <c r="O102" s="12">
        <v>43034</v>
      </c>
      <c r="P102" s="4">
        <f t="shared" si="1"/>
        <v>43764</v>
      </c>
      <c r="Q102" s="7" t="s">
        <v>40</v>
      </c>
      <c r="R102" s="6" t="str">
        <f>_xlfn.CONCAT(Q102,M102,C102)</f>
        <v>Novateur ElectricalChhattisgarhRanjana Gupta</v>
      </c>
    </row>
    <row r="103" spans="2:18">
      <c r="B103" s="1">
        <v>101</v>
      </c>
      <c r="C103" s="5" t="s">
        <v>260</v>
      </c>
      <c r="D103" s="1" t="s">
        <v>261</v>
      </c>
      <c r="E103" s="1" t="s">
        <v>262</v>
      </c>
      <c r="F103" s="5" t="s">
        <v>33</v>
      </c>
      <c r="G103" s="3" t="s">
        <v>34</v>
      </c>
      <c r="H103" s="2">
        <v>3</v>
      </c>
      <c r="I103" s="1" t="s">
        <v>17</v>
      </c>
      <c r="J103" s="5" t="s">
        <v>263</v>
      </c>
      <c r="K103" s="5" t="s">
        <v>292</v>
      </c>
      <c r="L103" s="3" t="s">
        <v>82</v>
      </c>
      <c r="M103" s="5" t="s">
        <v>91</v>
      </c>
      <c r="N103" s="3" t="s">
        <v>293</v>
      </c>
      <c r="O103" s="12">
        <v>45206</v>
      </c>
      <c r="P103" s="4">
        <f t="shared" si="1"/>
        <v>45936</v>
      </c>
      <c r="Q103" s="9" t="s">
        <v>34</v>
      </c>
      <c r="R103" s="6" t="str">
        <f>_xlfn.CONCAT(Q103,M103,C103)</f>
        <v>Fuji ElectricChhattisgarhRanjana Gupta</v>
      </c>
    </row>
    <row r="104" spans="2:18">
      <c r="B104" s="1">
        <v>102</v>
      </c>
      <c r="C104" s="5" t="s">
        <v>260</v>
      </c>
      <c r="D104" s="1" t="s">
        <v>261</v>
      </c>
      <c r="E104" s="1" t="s">
        <v>262</v>
      </c>
      <c r="F104" s="5" t="s">
        <v>67</v>
      </c>
      <c r="G104" s="1" t="s">
        <v>16</v>
      </c>
      <c r="H104" s="1">
        <v>20</v>
      </c>
      <c r="I104" s="1" t="s">
        <v>17</v>
      </c>
      <c r="J104" s="5" t="s">
        <v>294</v>
      </c>
      <c r="K104" s="5" t="s">
        <v>295</v>
      </c>
      <c r="L104" s="3" t="s">
        <v>82</v>
      </c>
      <c r="M104" s="5" t="s">
        <v>91</v>
      </c>
      <c r="N104" s="3" t="s">
        <v>296</v>
      </c>
      <c r="O104" s="12">
        <v>41599</v>
      </c>
      <c r="P104" s="4">
        <f t="shared" si="1"/>
        <v>42329</v>
      </c>
      <c r="Q104" s="7" t="s">
        <v>40</v>
      </c>
      <c r="R104" s="6" t="str">
        <f>_xlfn.CONCAT(Q104,M104,C104)</f>
        <v>Novateur ElectricalChhattisgarhRanjana Gupta</v>
      </c>
    </row>
    <row r="105" spans="2:18">
      <c r="B105" s="1">
        <v>103</v>
      </c>
      <c r="C105" s="5" t="s">
        <v>260</v>
      </c>
      <c r="D105" s="1" t="s">
        <v>261</v>
      </c>
      <c r="E105" s="1" t="s">
        <v>262</v>
      </c>
      <c r="F105" s="5" t="s">
        <v>18</v>
      </c>
      <c r="G105" s="8" t="s">
        <v>19</v>
      </c>
      <c r="H105" s="2">
        <v>3</v>
      </c>
      <c r="I105" s="1" t="s">
        <v>17</v>
      </c>
      <c r="J105" s="5" t="s">
        <v>263</v>
      </c>
      <c r="K105" s="5" t="s">
        <v>297</v>
      </c>
      <c r="L105" s="3" t="s">
        <v>82</v>
      </c>
      <c r="M105" s="5" t="s">
        <v>91</v>
      </c>
      <c r="N105" s="3" t="s">
        <v>298</v>
      </c>
      <c r="O105" s="12">
        <v>43445</v>
      </c>
      <c r="P105" s="4">
        <f t="shared" si="1"/>
        <v>44175</v>
      </c>
      <c r="Q105" s="7" t="s">
        <v>40</v>
      </c>
      <c r="R105" s="6" t="str">
        <f>_xlfn.CONCAT(Q105,M105,C105)</f>
        <v>Novateur ElectricalChhattisgarhRanjana Gupta</v>
      </c>
    </row>
    <row r="106" spans="2:18">
      <c r="B106" s="1">
        <v>104</v>
      </c>
      <c r="C106" s="5" t="s">
        <v>260</v>
      </c>
      <c r="D106" s="1" t="s">
        <v>261</v>
      </c>
      <c r="E106" s="1" t="s">
        <v>262</v>
      </c>
      <c r="F106" s="5" t="s">
        <v>22</v>
      </c>
      <c r="G106" s="1" t="s">
        <v>16</v>
      </c>
      <c r="H106" s="2">
        <v>6</v>
      </c>
      <c r="I106" s="1" t="s">
        <v>17</v>
      </c>
      <c r="J106" s="5" t="s">
        <v>43</v>
      </c>
      <c r="K106" s="5" t="s">
        <v>299</v>
      </c>
      <c r="L106" s="3" t="s">
        <v>82</v>
      </c>
      <c r="M106" s="5" t="s">
        <v>91</v>
      </c>
      <c r="N106" s="3" t="s">
        <v>300</v>
      </c>
      <c r="O106" s="12">
        <v>43423</v>
      </c>
      <c r="P106" s="4">
        <f t="shared" si="1"/>
        <v>44153</v>
      </c>
      <c r="Q106" s="7" t="s">
        <v>40</v>
      </c>
      <c r="R106" s="6" t="str">
        <f>_xlfn.CONCAT(Q106,M106,C106)</f>
        <v>Novateur ElectricalChhattisgarhRanjana Gupta</v>
      </c>
    </row>
    <row r="107" spans="2:18">
      <c r="B107" s="1">
        <v>105</v>
      </c>
      <c r="C107" s="5" t="s">
        <v>260</v>
      </c>
      <c r="D107" s="1" t="s">
        <v>261</v>
      </c>
      <c r="E107" s="1" t="s">
        <v>262</v>
      </c>
      <c r="F107" s="5" t="s">
        <v>99</v>
      </c>
      <c r="G107" s="8" t="s">
        <v>19</v>
      </c>
      <c r="H107" s="2">
        <v>6</v>
      </c>
      <c r="I107" s="1" t="s">
        <v>17</v>
      </c>
      <c r="J107" s="5" t="s">
        <v>43</v>
      </c>
      <c r="K107" s="5" t="s">
        <v>301</v>
      </c>
      <c r="L107" s="3" t="s">
        <v>82</v>
      </c>
      <c r="M107" s="5" t="s">
        <v>91</v>
      </c>
      <c r="N107" s="3" t="s">
        <v>302</v>
      </c>
      <c r="O107" s="12">
        <v>43554</v>
      </c>
      <c r="P107" s="4">
        <f t="shared" si="1"/>
        <v>44284</v>
      </c>
      <c r="Q107" s="7" t="s">
        <v>40</v>
      </c>
      <c r="R107" s="6" t="str">
        <f>_xlfn.CONCAT(Q107,M107,C107)</f>
        <v>Novateur ElectricalChhattisgarhRanjana Gupta</v>
      </c>
    </row>
    <row r="108" spans="2:18">
      <c r="B108" s="1">
        <v>106</v>
      </c>
      <c r="C108" s="5" t="s">
        <v>303</v>
      </c>
      <c r="D108" s="1" t="s">
        <v>304</v>
      </c>
      <c r="E108" s="1" t="s">
        <v>305</v>
      </c>
      <c r="F108" s="5" t="s">
        <v>18</v>
      </c>
      <c r="G108" s="8" t="s">
        <v>19</v>
      </c>
      <c r="H108" s="2">
        <v>3</v>
      </c>
      <c r="I108" s="1" t="s">
        <v>17</v>
      </c>
      <c r="J108" s="5" t="s">
        <v>29</v>
      </c>
      <c r="K108" s="5" t="s">
        <v>306</v>
      </c>
      <c r="L108" s="3" t="s">
        <v>82</v>
      </c>
      <c r="M108" s="5" t="s">
        <v>135</v>
      </c>
      <c r="N108" s="3" t="s">
        <v>307</v>
      </c>
      <c r="O108" s="12">
        <v>43165</v>
      </c>
      <c r="P108" s="4">
        <f t="shared" si="1"/>
        <v>43895</v>
      </c>
      <c r="Q108" s="7" t="s">
        <v>40</v>
      </c>
      <c r="R108" s="6" t="str">
        <f>_xlfn.CONCAT(Q108,M108,C108)</f>
        <v>Novateur ElectricalAndhra PradeshSai Teja P</v>
      </c>
    </row>
    <row r="109" spans="2:18">
      <c r="B109" s="1">
        <v>107</v>
      </c>
      <c r="C109" s="5" t="s">
        <v>303</v>
      </c>
      <c r="D109" s="1" t="s">
        <v>304</v>
      </c>
      <c r="E109" s="1" t="s">
        <v>305</v>
      </c>
      <c r="F109" s="5" t="s">
        <v>32</v>
      </c>
      <c r="G109" s="1" t="s">
        <v>16</v>
      </c>
      <c r="H109" s="2">
        <v>3</v>
      </c>
      <c r="I109" s="1" t="s">
        <v>17</v>
      </c>
      <c r="J109" s="5" t="s">
        <v>55</v>
      </c>
      <c r="K109" s="5" t="s">
        <v>308</v>
      </c>
      <c r="L109" s="3" t="s">
        <v>82</v>
      </c>
      <c r="M109" s="5" t="s">
        <v>135</v>
      </c>
      <c r="N109" s="3" t="s">
        <v>309</v>
      </c>
      <c r="O109" s="12">
        <v>42455</v>
      </c>
      <c r="P109" s="4">
        <f t="shared" si="1"/>
        <v>43185</v>
      </c>
      <c r="Q109" s="7" t="s">
        <v>40</v>
      </c>
      <c r="R109" s="6" t="str">
        <f>_xlfn.CONCAT(Q109,M109,C109)</f>
        <v>Novateur ElectricalAndhra PradeshSai Teja P</v>
      </c>
    </row>
    <row r="110" spans="2:18">
      <c r="B110" s="1">
        <v>108</v>
      </c>
      <c r="C110" s="5" t="s">
        <v>303</v>
      </c>
      <c r="D110" s="1" t="s">
        <v>304</v>
      </c>
      <c r="E110" s="1" t="s">
        <v>305</v>
      </c>
      <c r="F110" s="5" t="s">
        <v>18</v>
      </c>
      <c r="G110" s="8" t="s">
        <v>19</v>
      </c>
      <c r="H110" s="2">
        <v>3</v>
      </c>
      <c r="I110" s="1" t="s">
        <v>17</v>
      </c>
      <c r="J110" s="5" t="s">
        <v>62</v>
      </c>
      <c r="K110" s="5" t="s">
        <v>310</v>
      </c>
      <c r="L110" s="3" t="s">
        <v>82</v>
      </c>
      <c r="M110" s="5" t="s">
        <v>135</v>
      </c>
      <c r="N110" s="3" t="s">
        <v>311</v>
      </c>
      <c r="O110" s="12">
        <v>43882</v>
      </c>
      <c r="P110" s="4">
        <f t="shared" si="1"/>
        <v>44612</v>
      </c>
      <c r="Q110" s="7" t="s">
        <v>40</v>
      </c>
      <c r="R110" s="6" t="str">
        <f>_xlfn.CONCAT(Q110,M110,C110)</f>
        <v>Novateur ElectricalAndhra PradeshSai Teja P</v>
      </c>
    </row>
    <row r="111" spans="2:18">
      <c r="B111" s="1">
        <v>109</v>
      </c>
      <c r="C111" s="5" t="s">
        <v>303</v>
      </c>
      <c r="D111" s="1" t="s">
        <v>304</v>
      </c>
      <c r="E111" s="1" t="s">
        <v>305</v>
      </c>
      <c r="F111" s="5" t="s">
        <v>18</v>
      </c>
      <c r="G111" s="8" t="s">
        <v>19</v>
      </c>
      <c r="H111" s="2">
        <v>3</v>
      </c>
      <c r="I111" s="1" t="s">
        <v>17</v>
      </c>
      <c r="J111" s="5" t="s">
        <v>312</v>
      </c>
      <c r="K111" s="5" t="s">
        <v>313</v>
      </c>
      <c r="L111" s="3" t="s">
        <v>82</v>
      </c>
      <c r="M111" s="5" t="s">
        <v>135</v>
      </c>
      <c r="N111" s="3" t="s">
        <v>314</v>
      </c>
      <c r="O111" s="12">
        <v>42978</v>
      </c>
      <c r="P111" s="4">
        <f t="shared" si="1"/>
        <v>43708</v>
      </c>
      <c r="Q111" s="7" t="s">
        <v>40</v>
      </c>
      <c r="R111" s="6" t="str">
        <f>_xlfn.CONCAT(Q111,M111,C111)</f>
        <v>Novateur ElectricalAndhra PradeshSai Teja P</v>
      </c>
    </row>
    <row r="112" spans="2:18">
      <c r="B112" s="1">
        <v>110</v>
      </c>
      <c r="C112" s="5" t="s">
        <v>303</v>
      </c>
      <c r="D112" s="1" t="s">
        <v>304</v>
      </c>
      <c r="E112" s="1" t="s">
        <v>305</v>
      </c>
      <c r="F112" s="5" t="s">
        <v>22</v>
      </c>
      <c r="G112" s="1" t="s">
        <v>16</v>
      </c>
      <c r="H112" s="2">
        <v>6</v>
      </c>
      <c r="I112" s="1" t="s">
        <v>17</v>
      </c>
      <c r="J112" s="5" t="s">
        <v>26</v>
      </c>
      <c r="K112" s="5" t="s">
        <v>315</v>
      </c>
      <c r="L112" s="3" t="s">
        <v>82</v>
      </c>
      <c r="M112" s="5" t="s">
        <v>135</v>
      </c>
      <c r="N112" s="3" t="s">
        <v>316</v>
      </c>
      <c r="O112" s="12">
        <v>43423</v>
      </c>
      <c r="P112" s="4">
        <f t="shared" si="1"/>
        <v>44153</v>
      </c>
      <c r="Q112" s="7" t="s">
        <v>40</v>
      </c>
      <c r="R112" s="6" t="str">
        <f>_xlfn.CONCAT(Q112,M112,C112)</f>
        <v>Novateur ElectricalAndhra PradeshSai Teja P</v>
      </c>
    </row>
    <row r="113" spans="2:18">
      <c r="B113" s="1">
        <v>111</v>
      </c>
      <c r="C113" s="5" t="s">
        <v>303</v>
      </c>
      <c r="D113" s="1" t="s">
        <v>304</v>
      </c>
      <c r="E113" s="1" t="s">
        <v>305</v>
      </c>
      <c r="F113" s="5" t="s">
        <v>22</v>
      </c>
      <c r="G113" s="1" t="s">
        <v>16</v>
      </c>
      <c r="H113" s="2">
        <v>6</v>
      </c>
      <c r="I113" s="1" t="s">
        <v>17</v>
      </c>
      <c r="J113" s="5" t="s">
        <v>26</v>
      </c>
      <c r="K113" s="5" t="s">
        <v>317</v>
      </c>
      <c r="L113" s="3" t="s">
        <v>82</v>
      </c>
      <c r="M113" s="5" t="s">
        <v>135</v>
      </c>
      <c r="N113" s="3" t="s">
        <v>318</v>
      </c>
      <c r="O113" s="12">
        <v>43483</v>
      </c>
      <c r="P113" s="4">
        <f t="shared" si="1"/>
        <v>44213</v>
      </c>
      <c r="Q113" s="7" t="s">
        <v>40</v>
      </c>
      <c r="R113" s="6" t="str">
        <f>_xlfn.CONCAT(Q113,M113,C113)</f>
        <v>Novateur ElectricalAndhra PradeshSai Teja P</v>
      </c>
    </row>
    <row r="114" spans="2:18">
      <c r="B114" s="1">
        <v>112</v>
      </c>
      <c r="C114" s="5" t="s">
        <v>303</v>
      </c>
      <c r="D114" s="1" t="s">
        <v>304</v>
      </c>
      <c r="E114" s="1" t="s">
        <v>305</v>
      </c>
      <c r="F114" s="5" t="s">
        <v>60</v>
      </c>
      <c r="G114" s="1" t="s">
        <v>16</v>
      </c>
      <c r="H114" s="2">
        <v>6</v>
      </c>
      <c r="I114" s="1" t="s">
        <v>17</v>
      </c>
      <c r="J114" s="16" t="s">
        <v>26</v>
      </c>
      <c r="K114" s="5" t="s">
        <v>319</v>
      </c>
      <c r="L114" s="3" t="s">
        <v>82</v>
      </c>
      <c r="M114" s="5" t="s">
        <v>135</v>
      </c>
      <c r="N114" s="3" t="s">
        <v>320</v>
      </c>
      <c r="O114" s="12">
        <v>43189</v>
      </c>
      <c r="P114" s="4">
        <f t="shared" si="1"/>
        <v>43919</v>
      </c>
      <c r="Q114" s="7" t="s">
        <v>40</v>
      </c>
      <c r="R114" s="6" t="str">
        <f>_xlfn.CONCAT(Q114,M114,C114)</f>
        <v>Novateur ElectricalAndhra PradeshSai Teja P</v>
      </c>
    </row>
    <row r="115" spans="2:18">
      <c r="B115" s="1">
        <v>113</v>
      </c>
      <c r="C115" s="5" t="s">
        <v>303</v>
      </c>
      <c r="D115" s="1" t="s">
        <v>304</v>
      </c>
      <c r="E115" s="1" t="s">
        <v>305</v>
      </c>
      <c r="F115" s="5" t="s">
        <v>72</v>
      </c>
      <c r="G115" s="3" t="s">
        <v>34</v>
      </c>
      <c r="H115" s="2">
        <v>6</v>
      </c>
      <c r="I115" s="1" t="s">
        <v>17</v>
      </c>
      <c r="J115" s="16" t="s">
        <v>321</v>
      </c>
      <c r="K115" s="5" t="s">
        <v>322</v>
      </c>
      <c r="L115" s="3" t="s">
        <v>82</v>
      </c>
      <c r="M115" s="5" t="s">
        <v>135</v>
      </c>
      <c r="N115" s="3" t="s">
        <v>323</v>
      </c>
      <c r="O115" s="12">
        <v>45205</v>
      </c>
      <c r="P115" s="4">
        <f t="shared" si="1"/>
        <v>45935</v>
      </c>
      <c r="Q115" s="9" t="s">
        <v>34</v>
      </c>
      <c r="R115" s="6" t="str">
        <f>_xlfn.CONCAT(Q115,M115,C115)</f>
        <v>Fuji ElectricAndhra PradeshSai Teja P</v>
      </c>
    </row>
    <row r="116" spans="2:18">
      <c r="B116" s="1">
        <v>114</v>
      </c>
      <c r="C116" s="5" t="s">
        <v>303</v>
      </c>
      <c r="D116" s="1" t="s">
        <v>304</v>
      </c>
      <c r="E116" s="1" t="s">
        <v>305</v>
      </c>
      <c r="F116" s="5" t="s">
        <v>70</v>
      </c>
      <c r="G116" s="1" t="s">
        <v>16</v>
      </c>
      <c r="H116" s="2">
        <v>3</v>
      </c>
      <c r="I116" s="1" t="s">
        <v>17</v>
      </c>
      <c r="J116" s="14" t="s">
        <v>324</v>
      </c>
      <c r="K116" s="5" t="s">
        <v>325</v>
      </c>
      <c r="L116" s="3" t="s">
        <v>82</v>
      </c>
      <c r="M116" s="5" t="s">
        <v>135</v>
      </c>
      <c r="N116" s="3" t="s">
        <v>326</v>
      </c>
      <c r="O116" s="12">
        <v>43186</v>
      </c>
      <c r="P116" s="4">
        <f t="shared" si="1"/>
        <v>43916</v>
      </c>
      <c r="Q116" s="7" t="s">
        <v>40</v>
      </c>
      <c r="R116" s="6" t="str">
        <f>_xlfn.CONCAT(Q116,M116,C116)</f>
        <v>Novateur ElectricalAndhra PradeshSai Teja P</v>
      </c>
    </row>
    <row r="117" spans="2:18">
      <c r="B117" s="1">
        <v>115</v>
      </c>
      <c r="C117" s="5" t="s">
        <v>303</v>
      </c>
      <c r="D117" s="1" t="s">
        <v>304</v>
      </c>
      <c r="E117" s="1" t="s">
        <v>305</v>
      </c>
      <c r="F117" s="5" t="s">
        <v>57</v>
      </c>
      <c r="G117" s="8" t="s">
        <v>19</v>
      </c>
      <c r="H117" s="2">
        <v>3</v>
      </c>
      <c r="I117" s="1" t="s">
        <v>17</v>
      </c>
      <c r="J117" s="5" t="s">
        <v>29</v>
      </c>
      <c r="K117" s="5" t="s">
        <v>327</v>
      </c>
      <c r="L117" s="3" t="s">
        <v>82</v>
      </c>
      <c r="M117" s="5" t="s">
        <v>135</v>
      </c>
      <c r="N117" s="3" t="s">
        <v>328</v>
      </c>
      <c r="O117" s="12">
        <v>42850</v>
      </c>
      <c r="P117" s="4">
        <f t="shared" si="1"/>
        <v>43580</v>
      </c>
      <c r="Q117" s="7" t="s">
        <v>40</v>
      </c>
      <c r="R117" s="6" t="str">
        <f>_xlfn.CONCAT(Q117,M117,C117)</f>
        <v>Novateur ElectricalAndhra PradeshSai Teja P</v>
      </c>
    </row>
    <row r="118" spans="2:18">
      <c r="B118" s="1">
        <v>116</v>
      </c>
      <c r="C118" s="5" t="s">
        <v>303</v>
      </c>
      <c r="D118" s="1" t="s">
        <v>304</v>
      </c>
      <c r="E118" s="1" t="s">
        <v>305</v>
      </c>
      <c r="F118" s="5" t="s">
        <v>20</v>
      </c>
      <c r="G118" s="8" t="s">
        <v>19</v>
      </c>
      <c r="H118" s="2">
        <v>6</v>
      </c>
      <c r="I118" s="1" t="s">
        <v>17</v>
      </c>
      <c r="J118" s="5" t="s">
        <v>321</v>
      </c>
      <c r="K118" s="5" t="s">
        <v>329</v>
      </c>
      <c r="L118" s="3" t="s">
        <v>82</v>
      </c>
      <c r="M118" s="5" t="s">
        <v>135</v>
      </c>
      <c r="N118" s="3" t="s">
        <v>330</v>
      </c>
      <c r="O118" s="12">
        <v>43922</v>
      </c>
      <c r="P118" s="4">
        <f t="shared" si="1"/>
        <v>44652</v>
      </c>
      <c r="Q118" s="7" t="s">
        <v>40</v>
      </c>
      <c r="R118" s="6" t="str">
        <f>_xlfn.CONCAT(Q118,M118,C118)</f>
        <v>Novateur ElectricalAndhra PradeshSai Teja P</v>
      </c>
    </row>
    <row r="119" spans="2:18">
      <c r="B119" s="1">
        <v>117</v>
      </c>
      <c r="C119" s="5" t="s">
        <v>303</v>
      </c>
      <c r="D119" s="1" t="s">
        <v>304</v>
      </c>
      <c r="E119" s="1" t="s">
        <v>305</v>
      </c>
      <c r="F119" s="5" t="s">
        <v>331</v>
      </c>
      <c r="G119" s="1" t="s">
        <v>16</v>
      </c>
      <c r="H119" s="1">
        <v>20</v>
      </c>
      <c r="I119" s="1" t="s">
        <v>17</v>
      </c>
      <c r="J119" s="5" t="s">
        <v>332</v>
      </c>
      <c r="K119" s="5" t="s">
        <v>333</v>
      </c>
      <c r="L119" s="3" t="s">
        <v>82</v>
      </c>
      <c r="M119" s="5" t="s">
        <v>135</v>
      </c>
      <c r="N119" s="3" t="s">
        <v>334</v>
      </c>
      <c r="O119" s="12">
        <v>43131</v>
      </c>
      <c r="P119" s="4">
        <f t="shared" ref="P119:P181" si="2">O119+365*2</f>
        <v>43861</v>
      </c>
      <c r="Q119" s="7" t="s">
        <v>40</v>
      </c>
      <c r="R119" s="6" t="str">
        <f>_xlfn.CONCAT(Q119,M119,C119)</f>
        <v>Novateur ElectricalAndhra PradeshSai Teja P</v>
      </c>
    </row>
    <row r="120" spans="2:18">
      <c r="B120" s="1">
        <v>118</v>
      </c>
      <c r="C120" s="5" t="s">
        <v>303</v>
      </c>
      <c r="D120" s="1" t="s">
        <v>304</v>
      </c>
      <c r="E120" s="1" t="s">
        <v>305</v>
      </c>
      <c r="F120" s="5" t="s">
        <v>51</v>
      </c>
      <c r="G120" s="1" t="s">
        <v>16</v>
      </c>
      <c r="H120" s="2">
        <v>10</v>
      </c>
      <c r="I120" s="1" t="s">
        <v>17</v>
      </c>
      <c r="J120" s="5" t="s">
        <v>335</v>
      </c>
      <c r="K120" s="5" t="s">
        <v>336</v>
      </c>
      <c r="L120" s="3" t="s">
        <v>82</v>
      </c>
      <c r="M120" s="5" t="s">
        <v>135</v>
      </c>
      <c r="N120" s="3" t="s">
        <v>337</v>
      </c>
      <c r="O120" s="12">
        <v>44828</v>
      </c>
      <c r="P120" s="4">
        <f t="shared" si="2"/>
        <v>45558</v>
      </c>
      <c r="Q120" s="7" t="s">
        <v>40</v>
      </c>
      <c r="R120" s="6" t="str">
        <f>_xlfn.CONCAT(Q120,M120,C120)</f>
        <v>Novateur ElectricalAndhra PradeshSai Teja P</v>
      </c>
    </row>
    <row r="121" spans="2:18">
      <c r="B121" s="1">
        <v>119</v>
      </c>
      <c r="C121" s="5" t="s">
        <v>303</v>
      </c>
      <c r="D121" s="1" t="s">
        <v>304</v>
      </c>
      <c r="E121" s="1" t="s">
        <v>305</v>
      </c>
      <c r="F121" s="5" t="s">
        <v>38</v>
      </c>
      <c r="G121" s="1" t="s">
        <v>16</v>
      </c>
      <c r="H121" s="2">
        <v>3</v>
      </c>
      <c r="I121" s="1" t="s">
        <v>17</v>
      </c>
      <c r="J121" s="16" t="s">
        <v>48</v>
      </c>
      <c r="K121" s="5" t="s">
        <v>338</v>
      </c>
      <c r="L121" s="3" t="s">
        <v>82</v>
      </c>
      <c r="M121" s="5" t="s">
        <v>135</v>
      </c>
      <c r="N121" s="3" t="s">
        <v>339</v>
      </c>
      <c r="O121" s="12">
        <v>45199</v>
      </c>
      <c r="P121" s="4">
        <f t="shared" si="2"/>
        <v>45929</v>
      </c>
      <c r="Q121" s="7" t="s">
        <v>40</v>
      </c>
      <c r="R121" s="6" t="str">
        <f>_xlfn.CONCAT(Q121,M121,C121)</f>
        <v>Novateur ElectricalAndhra PradeshSai Teja P</v>
      </c>
    </row>
    <row r="122" spans="2:18">
      <c r="B122" s="1">
        <v>120</v>
      </c>
      <c r="C122" s="5" t="s">
        <v>303</v>
      </c>
      <c r="D122" s="1" t="s">
        <v>304</v>
      </c>
      <c r="E122" s="1" t="s">
        <v>305</v>
      </c>
      <c r="F122" s="5" t="s">
        <v>27</v>
      </c>
      <c r="G122" s="1" t="s">
        <v>16</v>
      </c>
      <c r="H122" s="2">
        <v>3</v>
      </c>
      <c r="I122" s="1" t="s">
        <v>17</v>
      </c>
      <c r="J122" s="14" t="s">
        <v>340</v>
      </c>
      <c r="K122" s="5" t="s">
        <v>341</v>
      </c>
      <c r="L122" s="3" t="s">
        <v>82</v>
      </c>
      <c r="M122" s="5" t="s">
        <v>135</v>
      </c>
      <c r="N122" s="3" t="s">
        <v>342</v>
      </c>
      <c r="O122" s="12">
        <v>43057</v>
      </c>
      <c r="P122" s="4">
        <f t="shared" si="2"/>
        <v>43787</v>
      </c>
      <c r="Q122" s="7" t="s">
        <v>40</v>
      </c>
      <c r="R122" s="6" t="str">
        <f>_xlfn.CONCAT(Q122,M122,C122)</f>
        <v>Novateur ElectricalAndhra PradeshSai Teja P</v>
      </c>
    </row>
    <row r="123" spans="2:18">
      <c r="B123" s="1">
        <v>121</v>
      </c>
      <c r="C123" s="5" t="s">
        <v>303</v>
      </c>
      <c r="D123" s="1" t="s">
        <v>304</v>
      </c>
      <c r="E123" s="1" t="s">
        <v>305</v>
      </c>
      <c r="F123" s="5" t="s">
        <v>20</v>
      </c>
      <c r="G123" s="8" t="s">
        <v>19</v>
      </c>
      <c r="H123" s="2">
        <v>6</v>
      </c>
      <c r="I123" s="1" t="s">
        <v>17</v>
      </c>
      <c r="J123" s="16" t="s">
        <v>321</v>
      </c>
      <c r="K123" s="5" t="s">
        <v>343</v>
      </c>
      <c r="L123" s="3" t="s">
        <v>82</v>
      </c>
      <c r="M123" s="5" t="s">
        <v>135</v>
      </c>
      <c r="N123" s="3" t="s">
        <v>344</v>
      </c>
      <c r="O123" s="12">
        <v>43755</v>
      </c>
      <c r="P123" s="4">
        <f t="shared" si="2"/>
        <v>44485</v>
      </c>
      <c r="Q123" s="7" t="s">
        <v>40</v>
      </c>
      <c r="R123" s="6" t="str">
        <f>_xlfn.CONCAT(Q123,M123,C123)</f>
        <v>Novateur ElectricalAndhra PradeshSai Teja P</v>
      </c>
    </row>
    <row r="124" spans="2:18">
      <c r="B124" s="1">
        <v>122</v>
      </c>
      <c r="C124" s="5" t="s">
        <v>303</v>
      </c>
      <c r="D124" s="1" t="s">
        <v>304</v>
      </c>
      <c r="E124" s="1" t="s">
        <v>305</v>
      </c>
      <c r="F124" s="5" t="s">
        <v>38</v>
      </c>
      <c r="G124" s="1" t="s">
        <v>16</v>
      </c>
      <c r="H124" s="2">
        <v>3</v>
      </c>
      <c r="I124" s="1" t="s">
        <v>17</v>
      </c>
      <c r="J124" s="16" t="s">
        <v>66</v>
      </c>
      <c r="K124" s="5" t="s">
        <v>345</v>
      </c>
      <c r="L124" s="3" t="s">
        <v>82</v>
      </c>
      <c r="M124" s="5" t="s">
        <v>135</v>
      </c>
      <c r="N124" s="3" t="s">
        <v>346</v>
      </c>
      <c r="O124" s="12">
        <v>45194</v>
      </c>
      <c r="P124" s="4">
        <f t="shared" si="2"/>
        <v>45924</v>
      </c>
      <c r="Q124" s="7" t="s">
        <v>40</v>
      </c>
      <c r="R124" s="6" t="str">
        <f>_xlfn.CONCAT(Q124,M124,C124)</f>
        <v>Novateur ElectricalAndhra PradeshSai Teja P</v>
      </c>
    </row>
    <row r="125" spans="2:18">
      <c r="B125" s="1">
        <v>123</v>
      </c>
      <c r="C125" s="5" t="s">
        <v>303</v>
      </c>
      <c r="D125" s="1" t="s">
        <v>304</v>
      </c>
      <c r="E125" s="1" t="s">
        <v>305</v>
      </c>
      <c r="F125" s="5" t="s">
        <v>32</v>
      </c>
      <c r="G125" s="1" t="s">
        <v>16</v>
      </c>
      <c r="H125" s="2">
        <v>3</v>
      </c>
      <c r="I125" s="1" t="s">
        <v>17</v>
      </c>
      <c r="J125" s="16" t="s">
        <v>347</v>
      </c>
      <c r="K125" s="5" t="s">
        <v>348</v>
      </c>
      <c r="L125" s="3" t="s">
        <v>82</v>
      </c>
      <c r="M125" s="5" t="s">
        <v>135</v>
      </c>
      <c r="N125" s="3" t="s">
        <v>349</v>
      </c>
      <c r="O125" s="12">
        <v>43555</v>
      </c>
      <c r="P125" s="4">
        <f t="shared" si="2"/>
        <v>44285</v>
      </c>
      <c r="Q125" s="7" t="s">
        <v>40</v>
      </c>
      <c r="R125" s="6" t="str">
        <f>_xlfn.CONCAT(Q125,M125,C125)</f>
        <v>Novateur ElectricalAndhra PradeshSai Teja P</v>
      </c>
    </row>
    <row r="126" spans="2:18">
      <c r="B126" s="1">
        <v>124</v>
      </c>
      <c r="C126" s="5" t="s">
        <v>303</v>
      </c>
      <c r="D126" s="1" t="s">
        <v>304</v>
      </c>
      <c r="E126" s="1" t="s">
        <v>305</v>
      </c>
      <c r="F126" s="5" t="s">
        <v>70</v>
      </c>
      <c r="G126" s="1" t="s">
        <v>16</v>
      </c>
      <c r="H126" s="2">
        <v>3</v>
      </c>
      <c r="I126" s="1" t="s">
        <v>17</v>
      </c>
      <c r="J126" s="14" t="s">
        <v>350</v>
      </c>
      <c r="K126" s="5" t="s">
        <v>351</v>
      </c>
      <c r="L126" s="3" t="s">
        <v>82</v>
      </c>
      <c r="M126" s="5" t="s">
        <v>135</v>
      </c>
      <c r="N126" s="3" t="s">
        <v>352</v>
      </c>
      <c r="O126" s="12">
        <v>43210</v>
      </c>
      <c r="P126" s="4">
        <f t="shared" si="2"/>
        <v>43940</v>
      </c>
      <c r="Q126" s="7" t="s">
        <v>40</v>
      </c>
      <c r="R126" s="6" t="str">
        <f>_xlfn.CONCAT(Q126,M126,C126)</f>
        <v>Novateur ElectricalAndhra PradeshSai Teja P</v>
      </c>
    </row>
    <row r="127" spans="2:18">
      <c r="B127" s="1">
        <v>125</v>
      </c>
      <c r="C127" s="5" t="s">
        <v>303</v>
      </c>
      <c r="D127" s="1" t="s">
        <v>304</v>
      </c>
      <c r="E127" s="1" t="s">
        <v>305</v>
      </c>
      <c r="F127" s="5" t="s">
        <v>61</v>
      </c>
      <c r="G127" s="1" t="s">
        <v>16</v>
      </c>
      <c r="H127" s="2">
        <v>6</v>
      </c>
      <c r="I127" s="1" t="s">
        <v>17</v>
      </c>
      <c r="J127" s="5" t="s">
        <v>353</v>
      </c>
      <c r="K127" s="5" t="s">
        <v>354</v>
      </c>
      <c r="L127" s="3" t="s">
        <v>82</v>
      </c>
      <c r="M127" s="5" t="s">
        <v>135</v>
      </c>
      <c r="N127" s="3" t="s">
        <v>355</v>
      </c>
      <c r="O127" s="12">
        <v>44806</v>
      </c>
      <c r="P127" s="4">
        <f t="shared" si="2"/>
        <v>45536</v>
      </c>
      <c r="Q127" s="7" t="s">
        <v>40</v>
      </c>
      <c r="R127" s="6" t="str">
        <f>_xlfn.CONCAT(Q127,M127,C127)</f>
        <v>Novateur ElectricalAndhra PradeshSai Teja P</v>
      </c>
    </row>
    <row r="128" spans="2:18">
      <c r="B128" s="1">
        <v>126</v>
      </c>
      <c r="C128" s="5" t="s">
        <v>303</v>
      </c>
      <c r="D128" s="1" t="s">
        <v>304</v>
      </c>
      <c r="E128" s="1" t="s">
        <v>305</v>
      </c>
      <c r="F128" s="5" t="s">
        <v>68</v>
      </c>
      <c r="G128" s="1" t="s">
        <v>16</v>
      </c>
      <c r="H128" s="2">
        <v>6</v>
      </c>
      <c r="I128" s="1" t="s">
        <v>17</v>
      </c>
      <c r="J128" s="5" t="s">
        <v>353</v>
      </c>
      <c r="K128" s="5" t="s">
        <v>354</v>
      </c>
      <c r="L128" s="3" t="s">
        <v>82</v>
      </c>
      <c r="M128" s="5" t="s">
        <v>135</v>
      </c>
      <c r="N128" s="3" t="s">
        <v>355</v>
      </c>
      <c r="O128" s="12">
        <v>43189</v>
      </c>
      <c r="P128" s="4">
        <f t="shared" si="2"/>
        <v>43919</v>
      </c>
      <c r="Q128" s="7" t="s">
        <v>40</v>
      </c>
      <c r="R128" s="6" t="str">
        <f>_xlfn.CONCAT(Q128,M128,C128)</f>
        <v>Novateur ElectricalAndhra PradeshSai Teja P</v>
      </c>
    </row>
    <row r="129" spans="2:18">
      <c r="B129" s="1">
        <v>127</v>
      </c>
      <c r="C129" s="5" t="s">
        <v>303</v>
      </c>
      <c r="D129" s="1" t="s">
        <v>304</v>
      </c>
      <c r="E129" s="1" t="s">
        <v>305</v>
      </c>
      <c r="F129" s="5" t="s">
        <v>22</v>
      </c>
      <c r="G129" s="1" t="s">
        <v>16</v>
      </c>
      <c r="H129" s="2">
        <v>6</v>
      </c>
      <c r="I129" s="1" t="s">
        <v>17</v>
      </c>
      <c r="J129" s="5" t="s">
        <v>42</v>
      </c>
      <c r="K129" s="5" t="s">
        <v>354</v>
      </c>
      <c r="L129" s="3" t="s">
        <v>82</v>
      </c>
      <c r="M129" s="5" t="s">
        <v>135</v>
      </c>
      <c r="N129" s="3" t="s">
        <v>355</v>
      </c>
      <c r="O129" s="12">
        <v>43097</v>
      </c>
      <c r="P129" s="4">
        <f t="shared" si="2"/>
        <v>43827</v>
      </c>
      <c r="Q129" s="7" t="s">
        <v>40</v>
      </c>
      <c r="R129" s="6" t="str">
        <f>_xlfn.CONCAT(Q129,M129,C129)</f>
        <v>Novateur ElectricalAndhra PradeshSai Teja P</v>
      </c>
    </row>
    <row r="130" spans="2:18">
      <c r="B130" s="1">
        <v>128</v>
      </c>
      <c r="C130" s="5" t="s">
        <v>303</v>
      </c>
      <c r="D130" s="1" t="s">
        <v>304</v>
      </c>
      <c r="E130" s="1" t="s">
        <v>305</v>
      </c>
      <c r="F130" s="5" t="s">
        <v>28</v>
      </c>
      <c r="G130" s="1" t="s">
        <v>16</v>
      </c>
      <c r="H130" s="2">
        <v>6</v>
      </c>
      <c r="I130" s="1" t="s">
        <v>17</v>
      </c>
      <c r="J130" s="14" t="s">
        <v>356</v>
      </c>
      <c r="K130" s="5" t="s">
        <v>357</v>
      </c>
      <c r="L130" s="3" t="s">
        <v>82</v>
      </c>
      <c r="M130" s="5" t="s">
        <v>135</v>
      </c>
      <c r="N130" s="3" t="s">
        <v>358</v>
      </c>
      <c r="O130" s="12">
        <v>43137</v>
      </c>
      <c r="P130" s="4">
        <f t="shared" si="2"/>
        <v>43867</v>
      </c>
      <c r="Q130" s="7" t="s">
        <v>40</v>
      </c>
      <c r="R130" s="6" t="str">
        <f>_xlfn.CONCAT(Q130,M130,C130)</f>
        <v>Novateur ElectricalAndhra PradeshSai Teja P</v>
      </c>
    </row>
    <row r="131" spans="2:18">
      <c r="B131" s="1">
        <v>129</v>
      </c>
      <c r="C131" s="5" t="s">
        <v>303</v>
      </c>
      <c r="D131" s="1" t="s">
        <v>304</v>
      </c>
      <c r="E131" s="1" t="s">
        <v>305</v>
      </c>
      <c r="F131" s="5" t="s">
        <v>33</v>
      </c>
      <c r="G131" s="1" t="s">
        <v>16</v>
      </c>
      <c r="H131" s="2">
        <v>3</v>
      </c>
      <c r="I131" s="1" t="s">
        <v>17</v>
      </c>
      <c r="J131" s="5" t="s">
        <v>359</v>
      </c>
      <c r="K131" s="5" t="s">
        <v>360</v>
      </c>
      <c r="L131" s="3" t="s">
        <v>82</v>
      </c>
      <c r="M131" s="5" t="s">
        <v>135</v>
      </c>
      <c r="N131" s="3" t="s">
        <v>361</v>
      </c>
      <c r="O131" s="12">
        <v>45313</v>
      </c>
      <c r="P131" s="4">
        <f t="shared" si="2"/>
        <v>46043</v>
      </c>
      <c r="Q131" s="7" t="s">
        <v>40</v>
      </c>
      <c r="R131" s="6" t="str">
        <f>_xlfn.CONCAT(Q131,M131,C131)</f>
        <v>Novateur ElectricalAndhra PradeshSai Teja P</v>
      </c>
    </row>
    <row r="132" spans="2:18">
      <c r="B132" s="1">
        <v>130</v>
      </c>
      <c r="C132" s="5" t="s">
        <v>303</v>
      </c>
      <c r="D132" s="1" t="s">
        <v>304</v>
      </c>
      <c r="E132" s="1" t="s">
        <v>305</v>
      </c>
      <c r="F132" s="5" t="s">
        <v>27</v>
      </c>
      <c r="G132" s="1" t="s">
        <v>16</v>
      </c>
      <c r="H132" s="2">
        <v>3</v>
      </c>
      <c r="I132" s="1" t="s">
        <v>17</v>
      </c>
      <c r="J132" s="5" t="s">
        <v>59</v>
      </c>
      <c r="K132" s="5" t="s">
        <v>362</v>
      </c>
      <c r="L132" s="3" t="s">
        <v>82</v>
      </c>
      <c r="M132" s="5" t="s">
        <v>135</v>
      </c>
      <c r="N132" s="3" t="s">
        <v>363</v>
      </c>
      <c r="O132" s="12">
        <v>43057</v>
      </c>
      <c r="P132" s="4">
        <f t="shared" si="2"/>
        <v>43787</v>
      </c>
      <c r="Q132" s="7" t="s">
        <v>40</v>
      </c>
      <c r="R132" s="6" t="str">
        <f>_xlfn.CONCAT(Q132,M132,C132)</f>
        <v>Novateur ElectricalAndhra PradeshSai Teja P</v>
      </c>
    </row>
    <row r="133" spans="2:18">
      <c r="B133" s="1">
        <v>131</v>
      </c>
      <c r="C133" s="5" t="s">
        <v>303</v>
      </c>
      <c r="D133" s="1" t="s">
        <v>304</v>
      </c>
      <c r="E133" s="1" t="s">
        <v>305</v>
      </c>
      <c r="F133" s="5" t="s">
        <v>18</v>
      </c>
      <c r="G133" s="8" t="s">
        <v>19</v>
      </c>
      <c r="H133" s="2">
        <v>3</v>
      </c>
      <c r="I133" s="1" t="s">
        <v>17</v>
      </c>
      <c r="J133" s="5" t="s">
        <v>62</v>
      </c>
      <c r="K133" s="5" t="s">
        <v>364</v>
      </c>
      <c r="L133" s="3" t="s">
        <v>82</v>
      </c>
      <c r="M133" s="5" t="s">
        <v>135</v>
      </c>
      <c r="N133" s="3" t="s">
        <v>365</v>
      </c>
      <c r="O133" s="12">
        <v>43882</v>
      </c>
      <c r="P133" s="4">
        <f t="shared" si="2"/>
        <v>44612</v>
      </c>
      <c r="Q133" s="7" t="s">
        <v>40</v>
      </c>
      <c r="R133" s="6" t="str">
        <f>_xlfn.CONCAT(Q133,M133,C133)</f>
        <v>Novateur ElectricalAndhra PradeshSai Teja P</v>
      </c>
    </row>
    <row r="134" spans="2:18">
      <c r="B134" s="1">
        <v>132</v>
      </c>
      <c r="C134" s="5" t="s">
        <v>303</v>
      </c>
      <c r="D134" s="1" t="s">
        <v>304</v>
      </c>
      <c r="E134" s="1" t="s">
        <v>305</v>
      </c>
      <c r="F134" s="5" t="s">
        <v>50</v>
      </c>
      <c r="G134" s="3" t="s">
        <v>34</v>
      </c>
      <c r="H134" s="2">
        <v>10</v>
      </c>
      <c r="I134" s="1" t="s">
        <v>17</v>
      </c>
      <c r="J134" s="5" t="s">
        <v>52</v>
      </c>
      <c r="K134" s="5" t="s">
        <v>366</v>
      </c>
      <c r="L134" s="3" t="s">
        <v>82</v>
      </c>
      <c r="M134" s="5" t="s">
        <v>135</v>
      </c>
      <c r="N134" s="3" t="s">
        <v>367</v>
      </c>
      <c r="O134" s="12">
        <v>45194</v>
      </c>
      <c r="P134" s="4">
        <f t="shared" si="2"/>
        <v>45924</v>
      </c>
      <c r="Q134" s="9" t="s">
        <v>34</v>
      </c>
      <c r="R134" s="6" t="str">
        <f>_xlfn.CONCAT(Q134,M134,C134)</f>
        <v>Fuji ElectricAndhra PradeshSai Teja P</v>
      </c>
    </row>
    <row r="135" spans="2:18">
      <c r="B135" s="1">
        <v>133</v>
      </c>
      <c r="C135" s="5" t="s">
        <v>303</v>
      </c>
      <c r="D135" s="1" t="s">
        <v>304</v>
      </c>
      <c r="E135" s="1" t="s">
        <v>305</v>
      </c>
      <c r="F135" s="5" t="s">
        <v>68</v>
      </c>
      <c r="G135" s="1" t="s">
        <v>16</v>
      </c>
      <c r="H135" s="2">
        <v>6</v>
      </c>
      <c r="I135" s="1" t="s">
        <v>17</v>
      </c>
      <c r="J135" s="5" t="s">
        <v>26</v>
      </c>
      <c r="K135" s="5" t="s">
        <v>368</v>
      </c>
      <c r="L135" s="3" t="s">
        <v>82</v>
      </c>
      <c r="M135" s="5" t="s">
        <v>135</v>
      </c>
      <c r="N135" s="3" t="s">
        <v>369</v>
      </c>
      <c r="O135" s="12">
        <v>41871</v>
      </c>
      <c r="P135" s="4">
        <f t="shared" si="2"/>
        <v>42601</v>
      </c>
      <c r="Q135" s="7" t="s">
        <v>40</v>
      </c>
      <c r="R135" s="6" t="str">
        <f>_xlfn.CONCAT(Q135,M135,C135)</f>
        <v>Novateur ElectricalAndhra PradeshSai Teja P</v>
      </c>
    </row>
    <row r="136" spans="2:18">
      <c r="B136" s="1">
        <v>134</v>
      </c>
      <c r="C136" s="5" t="s">
        <v>303</v>
      </c>
      <c r="D136" s="1" t="s">
        <v>304</v>
      </c>
      <c r="E136" s="1" t="s">
        <v>305</v>
      </c>
      <c r="F136" s="5" t="s">
        <v>58</v>
      </c>
      <c r="G136" s="1" t="s">
        <v>16</v>
      </c>
      <c r="H136" s="1">
        <v>20</v>
      </c>
      <c r="I136" s="1" t="s">
        <v>17</v>
      </c>
      <c r="J136" s="16" t="s">
        <v>370</v>
      </c>
      <c r="K136" s="5" t="s">
        <v>371</v>
      </c>
      <c r="L136" s="3" t="s">
        <v>82</v>
      </c>
      <c r="M136" s="5" t="s">
        <v>135</v>
      </c>
      <c r="N136" s="3" t="s">
        <v>372</v>
      </c>
      <c r="O136" s="12">
        <v>43521</v>
      </c>
      <c r="P136" s="4">
        <f t="shared" si="2"/>
        <v>44251</v>
      </c>
      <c r="Q136" s="7" t="s">
        <v>40</v>
      </c>
      <c r="R136" s="6" t="str">
        <f>_xlfn.CONCAT(Q136,M136,C136)</f>
        <v>Novateur ElectricalAndhra PradeshSai Teja P</v>
      </c>
    </row>
    <row r="137" spans="2:18">
      <c r="B137" s="1">
        <v>135</v>
      </c>
      <c r="C137" s="5" t="s">
        <v>303</v>
      </c>
      <c r="D137" s="1" t="s">
        <v>304</v>
      </c>
      <c r="E137" s="1" t="s">
        <v>305</v>
      </c>
      <c r="F137" s="5" t="s">
        <v>73</v>
      </c>
      <c r="G137" s="10" t="s">
        <v>37</v>
      </c>
      <c r="H137" s="2">
        <v>10</v>
      </c>
      <c r="I137" s="1" t="s">
        <v>17</v>
      </c>
      <c r="J137" s="16" t="s">
        <v>373</v>
      </c>
      <c r="K137" s="5" t="s">
        <v>374</v>
      </c>
      <c r="L137" s="3" t="s">
        <v>82</v>
      </c>
      <c r="M137" s="5" t="s">
        <v>135</v>
      </c>
      <c r="N137" s="3" t="s">
        <v>375</v>
      </c>
      <c r="O137" s="12">
        <v>45254</v>
      </c>
      <c r="P137" s="4">
        <f t="shared" si="2"/>
        <v>45984</v>
      </c>
      <c r="Q137" s="7" t="s">
        <v>40</v>
      </c>
      <c r="R137" s="6" t="str">
        <f>_xlfn.CONCAT(Q137,M137,C137)</f>
        <v>Novateur ElectricalAndhra PradeshSai Teja P</v>
      </c>
    </row>
    <row r="138" spans="2:18">
      <c r="B138" s="1">
        <v>136</v>
      </c>
      <c r="C138" s="5" t="s">
        <v>303</v>
      </c>
      <c r="D138" s="1" t="s">
        <v>304</v>
      </c>
      <c r="E138" s="1" t="s">
        <v>305</v>
      </c>
      <c r="F138" s="5" t="s">
        <v>57</v>
      </c>
      <c r="G138" s="8" t="s">
        <v>19</v>
      </c>
      <c r="H138" s="2">
        <v>3</v>
      </c>
      <c r="I138" s="1" t="s">
        <v>17</v>
      </c>
      <c r="J138" s="16" t="s">
        <v>376</v>
      </c>
      <c r="K138" s="5" t="s">
        <v>377</v>
      </c>
      <c r="L138" s="3" t="s">
        <v>82</v>
      </c>
      <c r="M138" s="5" t="s">
        <v>135</v>
      </c>
      <c r="N138" s="3" t="s">
        <v>378</v>
      </c>
      <c r="O138" s="12">
        <v>42846</v>
      </c>
      <c r="P138" s="4">
        <f t="shared" si="2"/>
        <v>43576</v>
      </c>
      <c r="Q138" s="7" t="s">
        <v>40</v>
      </c>
      <c r="R138" s="6" t="str">
        <f>_xlfn.CONCAT(Q138,M138,C138)</f>
        <v>Novateur ElectricalAndhra PradeshSai Teja P</v>
      </c>
    </row>
    <row r="139" spans="2:18">
      <c r="B139" s="1">
        <v>137</v>
      </c>
      <c r="C139" s="5" t="s">
        <v>303</v>
      </c>
      <c r="D139" s="1" t="s">
        <v>304</v>
      </c>
      <c r="E139" s="1" t="s">
        <v>305</v>
      </c>
      <c r="F139" s="5" t="s">
        <v>22</v>
      </c>
      <c r="G139" s="1" t="s">
        <v>16</v>
      </c>
      <c r="H139" s="2">
        <v>6</v>
      </c>
      <c r="I139" s="1" t="s">
        <v>17</v>
      </c>
      <c r="J139" s="16" t="s">
        <v>26</v>
      </c>
      <c r="K139" s="5" t="s">
        <v>379</v>
      </c>
      <c r="L139" s="3" t="s">
        <v>82</v>
      </c>
      <c r="M139" s="5" t="s">
        <v>135</v>
      </c>
      <c r="N139" s="3" t="s">
        <v>380</v>
      </c>
      <c r="O139" s="12">
        <v>44751</v>
      </c>
      <c r="P139" s="4">
        <f t="shared" si="2"/>
        <v>45481</v>
      </c>
      <c r="Q139" s="7" t="s">
        <v>40</v>
      </c>
      <c r="R139" s="6" t="str">
        <f>_xlfn.CONCAT(Q139,M139,C139)</f>
        <v>Novateur ElectricalAndhra PradeshSai Teja P</v>
      </c>
    </row>
    <row r="140" spans="2:18">
      <c r="B140" s="1">
        <v>138</v>
      </c>
      <c r="C140" s="5" t="s">
        <v>303</v>
      </c>
      <c r="D140" s="1" t="s">
        <v>304</v>
      </c>
      <c r="E140" s="1" t="s">
        <v>305</v>
      </c>
      <c r="F140" s="5" t="s">
        <v>22</v>
      </c>
      <c r="G140" s="1" t="s">
        <v>16</v>
      </c>
      <c r="H140" s="2">
        <v>6</v>
      </c>
      <c r="I140" s="1" t="s">
        <v>17</v>
      </c>
      <c r="J140" s="16" t="s">
        <v>26</v>
      </c>
      <c r="K140" s="5" t="s">
        <v>379</v>
      </c>
      <c r="L140" s="3" t="s">
        <v>82</v>
      </c>
      <c r="M140" s="5" t="s">
        <v>135</v>
      </c>
      <c r="N140" s="3" t="s">
        <v>380</v>
      </c>
      <c r="O140" s="12">
        <v>43483</v>
      </c>
      <c r="P140" s="4">
        <f t="shared" si="2"/>
        <v>44213</v>
      </c>
      <c r="Q140" s="7" t="s">
        <v>40</v>
      </c>
      <c r="R140" s="6" t="str">
        <f>_xlfn.CONCAT(Q140,M140,C140)</f>
        <v>Novateur ElectricalAndhra PradeshSai Teja P</v>
      </c>
    </row>
    <row r="141" spans="2:18">
      <c r="B141" s="1">
        <v>139</v>
      </c>
      <c r="C141" s="5" t="s">
        <v>303</v>
      </c>
      <c r="D141" s="1" t="s">
        <v>304</v>
      </c>
      <c r="E141" s="1" t="s">
        <v>305</v>
      </c>
      <c r="F141" s="5" t="s">
        <v>31</v>
      </c>
      <c r="G141" s="8" t="s">
        <v>19</v>
      </c>
      <c r="H141" s="2">
        <v>3</v>
      </c>
      <c r="I141" s="1" t="s">
        <v>17</v>
      </c>
      <c r="J141" s="5" t="s">
        <v>381</v>
      </c>
      <c r="K141" s="5" t="s">
        <v>382</v>
      </c>
      <c r="L141" s="3" t="s">
        <v>82</v>
      </c>
      <c r="M141" s="5" t="s">
        <v>135</v>
      </c>
      <c r="N141" s="3" t="s">
        <v>383</v>
      </c>
      <c r="O141" s="12">
        <v>43555</v>
      </c>
      <c r="P141" s="4">
        <f t="shared" si="2"/>
        <v>44285</v>
      </c>
      <c r="Q141" s="7" t="s">
        <v>40</v>
      </c>
      <c r="R141" s="6" t="str">
        <f>_xlfn.CONCAT(Q141,M141,C141)</f>
        <v>Novateur ElectricalAndhra PradeshSai Teja P</v>
      </c>
    </row>
    <row r="142" spans="2:18">
      <c r="B142" s="1">
        <v>140</v>
      </c>
      <c r="C142" s="5" t="s">
        <v>303</v>
      </c>
      <c r="D142" s="1" t="s">
        <v>304</v>
      </c>
      <c r="E142" s="1" t="s">
        <v>305</v>
      </c>
      <c r="F142" s="5" t="s">
        <v>31</v>
      </c>
      <c r="G142" s="8" t="s">
        <v>19</v>
      </c>
      <c r="H142" s="2">
        <v>3</v>
      </c>
      <c r="I142" s="1" t="s">
        <v>17</v>
      </c>
      <c r="J142" s="5" t="s">
        <v>29</v>
      </c>
      <c r="K142" s="5" t="s">
        <v>384</v>
      </c>
      <c r="L142" s="3" t="s">
        <v>82</v>
      </c>
      <c r="M142" s="5" t="s">
        <v>135</v>
      </c>
      <c r="N142" s="3" t="s">
        <v>385</v>
      </c>
      <c r="O142" s="12">
        <v>43555</v>
      </c>
      <c r="P142" s="4">
        <f t="shared" si="2"/>
        <v>44285</v>
      </c>
      <c r="Q142" s="7" t="s">
        <v>40</v>
      </c>
      <c r="R142" s="6" t="str">
        <f>_xlfn.CONCAT(Q142,M142,C142)</f>
        <v>Novateur ElectricalAndhra PradeshSai Teja P</v>
      </c>
    </row>
    <row r="143" spans="2:18">
      <c r="B143" s="1">
        <v>141</v>
      </c>
      <c r="C143" s="5" t="s">
        <v>303</v>
      </c>
      <c r="D143" s="1" t="s">
        <v>304</v>
      </c>
      <c r="E143" s="1" t="s">
        <v>305</v>
      </c>
      <c r="F143" s="5" t="s">
        <v>57</v>
      </c>
      <c r="G143" s="8" t="s">
        <v>19</v>
      </c>
      <c r="H143" s="2">
        <v>3</v>
      </c>
      <c r="I143" s="1" t="s">
        <v>17</v>
      </c>
      <c r="J143" s="5" t="s">
        <v>29</v>
      </c>
      <c r="K143" s="5" t="s">
        <v>386</v>
      </c>
      <c r="L143" s="3" t="s">
        <v>82</v>
      </c>
      <c r="M143" s="5" t="s">
        <v>135</v>
      </c>
      <c r="N143" s="3" t="s">
        <v>387</v>
      </c>
      <c r="O143" s="12">
        <v>42849</v>
      </c>
      <c r="P143" s="4">
        <f t="shared" si="2"/>
        <v>43579</v>
      </c>
      <c r="Q143" s="7" t="s">
        <v>40</v>
      </c>
      <c r="R143" s="6" t="str">
        <f>_xlfn.CONCAT(Q143,M143,C143)</f>
        <v>Novateur ElectricalAndhra PradeshSai Teja P</v>
      </c>
    </row>
    <row r="144" spans="2:18">
      <c r="B144" s="1">
        <v>142</v>
      </c>
      <c r="C144" s="5" t="s">
        <v>303</v>
      </c>
      <c r="D144" s="1" t="s">
        <v>304</v>
      </c>
      <c r="E144" s="1" t="s">
        <v>305</v>
      </c>
      <c r="F144" s="5" t="s">
        <v>54</v>
      </c>
      <c r="G144" s="8" t="s">
        <v>19</v>
      </c>
      <c r="H144" s="5">
        <v>2</v>
      </c>
      <c r="I144" s="1" t="s">
        <v>17</v>
      </c>
      <c r="J144" s="5" t="s">
        <v>388</v>
      </c>
      <c r="K144" s="5" t="s">
        <v>389</v>
      </c>
      <c r="L144" s="3" t="s">
        <v>82</v>
      </c>
      <c r="M144" s="5" t="s">
        <v>135</v>
      </c>
      <c r="N144" s="3" t="s">
        <v>390</v>
      </c>
      <c r="O144" s="12">
        <v>42543</v>
      </c>
      <c r="P144" s="4">
        <f t="shared" si="2"/>
        <v>43273</v>
      </c>
      <c r="Q144" s="7" t="s">
        <v>40</v>
      </c>
      <c r="R144" s="6" t="str">
        <f>_xlfn.CONCAT(Q144,M144,C144)</f>
        <v>Novateur ElectricalAndhra PradeshSai Teja P</v>
      </c>
    </row>
    <row r="145" spans="2:18">
      <c r="B145" s="1">
        <v>143</v>
      </c>
      <c r="C145" s="5" t="s">
        <v>303</v>
      </c>
      <c r="D145" s="1" t="s">
        <v>304</v>
      </c>
      <c r="E145" s="1" t="s">
        <v>305</v>
      </c>
      <c r="F145" s="5" t="s">
        <v>391</v>
      </c>
      <c r="G145" s="8" t="s">
        <v>19</v>
      </c>
      <c r="H145" s="2">
        <v>3</v>
      </c>
      <c r="I145" s="1" t="s">
        <v>17</v>
      </c>
      <c r="J145" s="5" t="s">
        <v>376</v>
      </c>
      <c r="K145" s="5" t="s">
        <v>389</v>
      </c>
      <c r="L145" s="3" t="s">
        <v>82</v>
      </c>
      <c r="M145" s="5" t="s">
        <v>135</v>
      </c>
      <c r="N145" s="3" t="s">
        <v>390</v>
      </c>
      <c r="O145" s="12">
        <v>41302</v>
      </c>
      <c r="P145" s="4">
        <f t="shared" si="2"/>
        <v>42032</v>
      </c>
      <c r="Q145" s="7" t="s">
        <v>40</v>
      </c>
      <c r="R145" s="6" t="str">
        <f>_xlfn.CONCAT(Q145,M145,C145)</f>
        <v>Novateur ElectricalAndhra PradeshSai Teja P</v>
      </c>
    </row>
    <row r="146" spans="2:18">
      <c r="B146" s="1">
        <v>144</v>
      </c>
      <c r="C146" s="5" t="s">
        <v>303</v>
      </c>
      <c r="D146" s="1" t="s">
        <v>304</v>
      </c>
      <c r="E146" s="1" t="s">
        <v>305</v>
      </c>
      <c r="F146" s="5" t="s">
        <v>22</v>
      </c>
      <c r="G146" s="1" t="s">
        <v>16</v>
      </c>
      <c r="H146" s="2">
        <v>6</v>
      </c>
      <c r="I146" s="1" t="s">
        <v>17</v>
      </c>
      <c r="J146" s="5" t="s">
        <v>392</v>
      </c>
      <c r="K146" s="5" t="s">
        <v>393</v>
      </c>
      <c r="L146" s="3" t="s">
        <v>82</v>
      </c>
      <c r="M146" s="5" t="s">
        <v>135</v>
      </c>
      <c r="N146" s="3" t="s">
        <v>394</v>
      </c>
      <c r="O146" s="12">
        <v>43483</v>
      </c>
      <c r="P146" s="4">
        <f t="shared" si="2"/>
        <v>44213</v>
      </c>
      <c r="Q146" s="7" t="s">
        <v>40</v>
      </c>
      <c r="R146" s="6" t="str">
        <f>_xlfn.CONCAT(Q146,M146,C146)</f>
        <v>Novateur ElectricalAndhra PradeshSai Teja P</v>
      </c>
    </row>
    <row r="147" spans="2:18">
      <c r="B147" s="1">
        <v>145</v>
      </c>
      <c r="C147" s="5" t="s">
        <v>303</v>
      </c>
      <c r="D147" s="1" t="s">
        <v>304</v>
      </c>
      <c r="E147" s="1" t="s">
        <v>305</v>
      </c>
      <c r="F147" s="5" t="s">
        <v>58</v>
      </c>
      <c r="G147" s="1" t="s">
        <v>16</v>
      </c>
      <c r="H147" s="1">
        <v>20</v>
      </c>
      <c r="I147" s="1" t="s">
        <v>17</v>
      </c>
      <c r="J147" s="14" t="s">
        <v>395</v>
      </c>
      <c r="K147" s="5" t="s">
        <v>396</v>
      </c>
      <c r="L147" s="3" t="s">
        <v>82</v>
      </c>
      <c r="M147" s="5" t="s">
        <v>135</v>
      </c>
      <c r="N147" s="3" t="s">
        <v>397</v>
      </c>
      <c r="O147" s="12">
        <v>43907</v>
      </c>
      <c r="P147" s="4">
        <f t="shared" si="2"/>
        <v>44637</v>
      </c>
      <c r="Q147" s="7" t="s">
        <v>40</v>
      </c>
      <c r="R147" s="6" t="str">
        <f>_xlfn.CONCAT(Q147,M147,C147)</f>
        <v>Novateur ElectricalAndhra PradeshSai Teja P</v>
      </c>
    </row>
    <row r="148" spans="2:18">
      <c r="B148" s="1">
        <v>146</v>
      </c>
      <c r="C148" s="5" t="s">
        <v>303</v>
      </c>
      <c r="D148" s="1" t="s">
        <v>304</v>
      </c>
      <c r="E148" s="1" t="s">
        <v>305</v>
      </c>
      <c r="F148" s="5" t="s">
        <v>58</v>
      </c>
      <c r="G148" s="1" t="s">
        <v>16</v>
      </c>
      <c r="H148" s="1">
        <v>20</v>
      </c>
      <c r="I148" s="1" t="s">
        <v>17</v>
      </c>
      <c r="J148" s="14" t="s">
        <v>395</v>
      </c>
      <c r="K148" s="5" t="s">
        <v>396</v>
      </c>
      <c r="L148" s="3" t="s">
        <v>82</v>
      </c>
      <c r="M148" s="5" t="s">
        <v>135</v>
      </c>
      <c r="N148" s="3" t="s">
        <v>397</v>
      </c>
      <c r="O148" s="12">
        <v>43907</v>
      </c>
      <c r="P148" s="4">
        <f t="shared" si="2"/>
        <v>44637</v>
      </c>
      <c r="Q148" s="7" t="s">
        <v>40</v>
      </c>
      <c r="R148" s="6" t="str">
        <f>_xlfn.CONCAT(Q148,M148,C148)</f>
        <v>Novateur ElectricalAndhra PradeshSai Teja P</v>
      </c>
    </row>
    <row r="149" spans="2:18">
      <c r="B149" s="1">
        <v>147</v>
      </c>
      <c r="C149" s="5" t="s">
        <v>303</v>
      </c>
      <c r="D149" s="1" t="s">
        <v>304</v>
      </c>
      <c r="E149" s="1" t="s">
        <v>305</v>
      </c>
      <c r="F149" s="5" t="s">
        <v>179</v>
      </c>
      <c r="G149" s="1" t="s">
        <v>16</v>
      </c>
      <c r="H149" s="2">
        <v>10</v>
      </c>
      <c r="I149" s="1" t="s">
        <v>17</v>
      </c>
      <c r="J149" s="14" t="s">
        <v>398</v>
      </c>
      <c r="K149" s="5" t="s">
        <v>399</v>
      </c>
      <c r="L149" s="3" t="s">
        <v>82</v>
      </c>
      <c r="M149" s="5" t="s">
        <v>135</v>
      </c>
      <c r="N149" s="3" t="s">
        <v>400</v>
      </c>
      <c r="O149" s="13">
        <v>45219</v>
      </c>
      <c r="P149" s="4">
        <f t="shared" si="2"/>
        <v>45949</v>
      </c>
      <c r="Q149" s="7" t="s">
        <v>40</v>
      </c>
      <c r="R149" s="6" t="str">
        <f>_xlfn.CONCAT(Q149,M149,C149)</f>
        <v>Novateur ElectricalAndhra PradeshSai Teja P</v>
      </c>
    </row>
    <row r="150" spans="2:18">
      <c r="B150" s="1">
        <v>148</v>
      </c>
      <c r="C150" s="5" t="s">
        <v>303</v>
      </c>
      <c r="D150" s="1" t="s">
        <v>304</v>
      </c>
      <c r="E150" s="1" t="s">
        <v>305</v>
      </c>
      <c r="F150" s="5" t="s">
        <v>401</v>
      </c>
      <c r="G150" s="5" t="s">
        <v>402</v>
      </c>
      <c r="H150" s="2">
        <v>6</v>
      </c>
      <c r="I150" s="1" t="s">
        <v>17</v>
      </c>
      <c r="J150" s="14" t="s">
        <v>403</v>
      </c>
      <c r="K150" s="5" t="s">
        <v>404</v>
      </c>
      <c r="L150" s="3" t="s">
        <v>82</v>
      </c>
      <c r="M150" s="5" t="s">
        <v>135</v>
      </c>
      <c r="N150" s="3" t="s">
        <v>405</v>
      </c>
      <c r="O150" s="12">
        <v>45163</v>
      </c>
      <c r="P150" s="4">
        <f t="shared" si="2"/>
        <v>45893</v>
      </c>
      <c r="Q150" s="7" t="s">
        <v>40</v>
      </c>
      <c r="R150" s="6" t="str">
        <f>_xlfn.CONCAT(Q150,M150,C150)</f>
        <v>Novateur ElectricalAndhra PradeshSai Teja P</v>
      </c>
    </row>
    <row r="151" spans="2:18">
      <c r="B151" s="1">
        <v>149</v>
      </c>
      <c r="C151" s="5" t="s">
        <v>303</v>
      </c>
      <c r="D151" s="1" t="s">
        <v>304</v>
      </c>
      <c r="E151" s="1" t="s">
        <v>305</v>
      </c>
      <c r="F151" s="5" t="s">
        <v>406</v>
      </c>
      <c r="G151" s="1" t="s">
        <v>16</v>
      </c>
      <c r="H151" s="1">
        <v>20</v>
      </c>
      <c r="I151" s="1" t="s">
        <v>17</v>
      </c>
      <c r="J151" s="14" t="s">
        <v>407</v>
      </c>
      <c r="K151" s="5" t="s">
        <v>408</v>
      </c>
      <c r="L151" s="3" t="s">
        <v>82</v>
      </c>
      <c r="M151" s="5" t="s">
        <v>135</v>
      </c>
      <c r="N151" s="3" t="s">
        <v>409</v>
      </c>
      <c r="O151" s="12">
        <v>42461</v>
      </c>
      <c r="P151" s="4">
        <f t="shared" si="2"/>
        <v>43191</v>
      </c>
      <c r="Q151" s="7" t="s">
        <v>40</v>
      </c>
      <c r="R151" s="6" t="str">
        <f>_xlfn.CONCAT(Q151,M151,C151)</f>
        <v>Novateur ElectricalAndhra PradeshSai Teja P</v>
      </c>
    </row>
    <row r="152" spans="2:18">
      <c r="B152" s="1">
        <v>150</v>
      </c>
      <c r="C152" s="5" t="s">
        <v>303</v>
      </c>
      <c r="D152" s="1" t="s">
        <v>304</v>
      </c>
      <c r="E152" s="1" t="s">
        <v>305</v>
      </c>
      <c r="F152" s="5" t="s">
        <v>406</v>
      </c>
      <c r="G152" s="1" t="s">
        <v>16</v>
      </c>
      <c r="H152" s="1">
        <v>20</v>
      </c>
      <c r="I152" s="1" t="s">
        <v>17</v>
      </c>
      <c r="J152" s="14" t="s">
        <v>410</v>
      </c>
      <c r="K152" s="5" t="s">
        <v>408</v>
      </c>
      <c r="L152" s="3" t="s">
        <v>82</v>
      </c>
      <c r="M152" s="5" t="s">
        <v>135</v>
      </c>
      <c r="N152" s="3" t="s">
        <v>409</v>
      </c>
      <c r="O152" s="12">
        <v>42461</v>
      </c>
      <c r="P152" s="4">
        <f t="shared" si="2"/>
        <v>43191</v>
      </c>
      <c r="Q152" s="7" t="s">
        <v>40</v>
      </c>
      <c r="R152" s="6" t="str">
        <f>_xlfn.CONCAT(Q152,M152,C152)</f>
        <v>Novateur ElectricalAndhra PradeshSai Teja P</v>
      </c>
    </row>
    <row r="153" spans="2:18">
      <c r="B153" s="1">
        <v>151</v>
      </c>
      <c r="C153" s="5" t="s">
        <v>303</v>
      </c>
      <c r="D153" s="1" t="s">
        <v>304</v>
      </c>
      <c r="E153" s="1" t="s">
        <v>305</v>
      </c>
      <c r="F153" s="5" t="s">
        <v>411</v>
      </c>
      <c r="G153" s="10" t="s">
        <v>37</v>
      </c>
      <c r="H153" s="2">
        <v>10</v>
      </c>
      <c r="I153" s="1" t="s">
        <v>17</v>
      </c>
      <c r="J153" s="14" t="s">
        <v>74</v>
      </c>
      <c r="K153" s="5" t="s">
        <v>412</v>
      </c>
      <c r="L153" s="3" t="s">
        <v>82</v>
      </c>
      <c r="M153" s="5" t="s">
        <v>135</v>
      </c>
      <c r="N153" s="3" t="s">
        <v>413</v>
      </c>
      <c r="O153" s="12">
        <v>45117</v>
      </c>
      <c r="P153" s="4">
        <f t="shared" si="2"/>
        <v>45847</v>
      </c>
      <c r="Q153" s="7" t="s">
        <v>40</v>
      </c>
      <c r="R153" s="6" t="str">
        <f>_xlfn.CONCAT(Q153,M153,C153)</f>
        <v>Novateur ElectricalAndhra PradeshSai Teja P</v>
      </c>
    </row>
    <row r="154" spans="2:18">
      <c r="B154" s="1">
        <v>152</v>
      </c>
      <c r="C154" s="5" t="s">
        <v>303</v>
      </c>
      <c r="D154" s="1" t="s">
        <v>304</v>
      </c>
      <c r="E154" s="1" t="s">
        <v>305</v>
      </c>
      <c r="F154" s="5" t="s">
        <v>18</v>
      </c>
      <c r="G154" s="8" t="s">
        <v>19</v>
      </c>
      <c r="H154" s="2">
        <v>3</v>
      </c>
      <c r="I154" s="1" t="s">
        <v>17</v>
      </c>
      <c r="J154" s="5" t="s">
        <v>29</v>
      </c>
      <c r="K154" s="5" t="s">
        <v>414</v>
      </c>
      <c r="L154" s="3" t="s">
        <v>82</v>
      </c>
      <c r="M154" s="5" t="s">
        <v>135</v>
      </c>
      <c r="N154" s="3" t="s">
        <v>415</v>
      </c>
      <c r="O154" s="12">
        <v>43190</v>
      </c>
      <c r="P154" s="4">
        <f t="shared" si="2"/>
        <v>43920</v>
      </c>
      <c r="Q154" s="7" t="s">
        <v>40</v>
      </c>
      <c r="R154" s="6" t="str">
        <f>_xlfn.CONCAT(Q154,M154,C154)</f>
        <v>Novateur ElectricalAndhra PradeshSai Teja P</v>
      </c>
    </row>
    <row r="155" spans="2:18">
      <c r="B155" s="1">
        <v>153</v>
      </c>
      <c r="C155" s="5" t="s">
        <v>416</v>
      </c>
      <c r="D155" s="1" t="s">
        <v>417</v>
      </c>
      <c r="E155" s="1" t="e">
        <v>#N/A</v>
      </c>
      <c r="F155" s="5" t="s">
        <v>28</v>
      </c>
      <c r="G155" s="1" t="s">
        <v>16</v>
      </c>
      <c r="H155" s="2">
        <v>6</v>
      </c>
      <c r="I155" s="1" t="s">
        <v>17</v>
      </c>
      <c r="J155" s="5" t="s">
        <v>418</v>
      </c>
      <c r="K155" s="5" t="s">
        <v>419</v>
      </c>
      <c r="L155" s="3" t="s">
        <v>82</v>
      </c>
      <c r="M155" s="5" t="s">
        <v>420</v>
      </c>
      <c r="N155" s="3" t="s">
        <v>421</v>
      </c>
      <c r="O155" s="12">
        <v>43137</v>
      </c>
      <c r="P155" s="4">
        <f t="shared" si="2"/>
        <v>43867</v>
      </c>
      <c r="Q155" s="7" t="s">
        <v>40</v>
      </c>
      <c r="R155" s="6" t="str">
        <f>_xlfn.CONCAT(Q155,M155,C155)</f>
        <v>Novateur ElectricalJharkhandSumit Kumar Singh</v>
      </c>
    </row>
    <row r="156" spans="2:18">
      <c r="B156" s="1">
        <v>154</v>
      </c>
      <c r="C156" s="5" t="s">
        <v>416</v>
      </c>
      <c r="D156" s="1" t="s">
        <v>417</v>
      </c>
      <c r="E156" s="1" t="e">
        <v>#N/A</v>
      </c>
      <c r="F156" s="5" t="s">
        <v>23</v>
      </c>
      <c r="G156" s="3" t="s">
        <v>24</v>
      </c>
      <c r="H156" s="2">
        <v>3</v>
      </c>
      <c r="I156" s="1" t="s">
        <v>17</v>
      </c>
      <c r="J156" s="5" t="s">
        <v>422</v>
      </c>
      <c r="K156" s="5" t="s">
        <v>423</v>
      </c>
      <c r="L156" s="3" t="s">
        <v>82</v>
      </c>
      <c r="M156" s="5" t="s">
        <v>420</v>
      </c>
      <c r="N156" s="3" t="s">
        <v>421</v>
      </c>
      <c r="O156" s="12">
        <v>45225</v>
      </c>
      <c r="P156" s="4">
        <f t="shared" si="2"/>
        <v>45955</v>
      </c>
      <c r="Q156" s="7" t="s">
        <v>45</v>
      </c>
      <c r="R156" s="6" t="str">
        <f>_xlfn.CONCAT(Q156,M156,C156)</f>
        <v>Best PowerJharkhandSumit Kumar Singh</v>
      </c>
    </row>
    <row r="157" spans="2:18">
      <c r="B157" s="1">
        <v>155</v>
      </c>
      <c r="C157" s="5" t="s">
        <v>416</v>
      </c>
      <c r="D157" s="1" t="s">
        <v>417</v>
      </c>
      <c r="E157" s="1" t="e">
        <v>#N/A</v>
      </c>
      <c r="F157" s="5" t="s">
        <v>18</v>
      </c>
      <c r="G157" s="8" t="s">
        <v>19</v>
      </c>
      <c r="H157" s="2">
        <v>3</v>
      </c>
      <c r="I157" s="1" t="s">
        <v>17</v>
      </c>
      <c r="J157" s="5" t="s">
        <v>424</v>
      </c>
      <c r="K157" s="5" t="s">
        <v>425</v>
      </c>
      <c r="L157" s="3" t="s">
        <v>82</v>
      </c>
      <c r="M157" s="5" t="s">
        <v>420</v>
      </c>
      <c r="N157" s="3" t="s">
        <v>426</v>
      </c>
      <c r="O157" s="12">
        <v>43880</v>
      </c>
      <c r="P157" s="4">
        <f t="shared" si="2"/>
        <v>44610</v>
      </c>
      <c r="Q157" s="7" t="s">
        <v>40</v>
      </c>
      <c r="R157" s="6" t="str">
        <f>_xlfn.CONCAT(Q157,M157,C157)</f>
        <v>Novateur ElectricalJharkhandSumit Kumar Singh</v>
      </c>
    </row>
    <row r="158" spans="2:18">
      <c r="B158" s="1">
        <v>156</v>
      </c>
      <c r="C158" s="5" t="s">
        <v>416</v>
      </c>
      <c r="D158" s="1" t="s">
        <v>417</v>
      </c>
      <c r="E158" s="1" t="e">
        <v>#N/A</v>
      </c>
      <c r="F158" s="5" t="s">
        <v>20</v>
      </c>
      <c r="G158" s="8" t="s">
        <v>19</v>
      </c>
      <c r="H158" s="2">
        <v>6</v>
      </c>
      <c r="I158" s="1" t="s">
        <v>17</v>
      </c>
      <c r="J158" s="5" t="s">
        <v>427</v>
      </c>
      <c r="K158" s="5" t="s">
        <v>428</v>
      </c>
      <c r="L158" s="3" t="s">
        <v>82</v>
      </c>
      <c r="M158" s="5" t="s">
        <v>420</v>
      </c>
      <c r="N158" s="3" t="s">
        <v>429</v>
      </c>
      <c r="O158" s="12">
        <v>43773</v>
      </c>
      <c r="P158" s="4">
        <f t="shared" si="2"/>
        <v>44503</v>
      </c>
      <c r="Q158" s="7" t="s">
        <v>40</v>
      </c>
      <c r="R158" s="6" t="str">
        <f>_xlfn.CONCAT(Q158,M158,C158)</f>
        <v>Novateur ElectricalJharkhandSumit Kumar Singh</v>
      </c>
    </row>
    <row r="159" spans="2:18">
      <c r="B159" s="1">
        <v>157</v>
      </c>
      <c r="C159" s="5" t="s">
        <v>416</v>
      </c>
      <c r="D159" s="1" t="s">
        <v>417</v>
      </c>
      <c r="E159" s="1" t="e">
        <v>#N/A</v>
      </c>
      <c r="F159" s="5" t="s">
        <v>31</v>
      </c>
      <c r="G159" s="8" t="s">
        <v>19</v>
      </c>
      <c r="H159" s="2">
        <v>3</v>
      </c>
      <c r="I159" s="1" t="s">
        <v>17</v>
      </c>
      <c r="J159" s="5" t="s">
        <v>430</v>
      </c>
      <c r="K159" s="5" t="s">
        <v>431</v>
      </c>
      <c r="L159" s="3" t="s">
        <v>82</v>
      </c>
      <c r="M159" s="5" t="s">
        <v>420</v>
      </c>
      <c r="N159" s="3" t="s">
        <v>432</v>
      </c>
      <c r="O159" s="12">
        <v>43555</v>
      </c>
      <c r="P159" s="4">
        <f t="shared" si="2"/>
        <v>44285</v>
      </c>
      <c r="Q159" s="7" t="s">
        <v>40</v>
      </c>
      <c r="R159" s="6" t="str">
        <f>_xlfn.CONCAT(Q159,M159,C159)</f>
        <v>Novateur ElectricalJharkhandSumit Kumar Singh</v>
      </c>
    </row>
    <row r="160" spans="2:18">
      <c r="B160" s="1">
        <v>158</v>
      </c>
      <c r="C160" s="5" t="s">
        <v>416</v>
      </c>
      <c r="D160" s="1" t="s">
        <v>417</v>
      </c>
      <c r="E160" s="1" t="e">
        <v>#N/A</v>
      </c>
      <c r="F160" s="5" t="s">
        <v>38</v>
      </c>
      <c r="G160" s="1" t="s">
        <v>16</v>
      </c>
      <c r="H160" s="2">
        <v>3</v>
      </c>
      <c r="I160" s="1" t="s">
        <v>17</v>
      </c>
      <c r="J160" s="17" t="s">
        <v>433</v>
      </c>
      <c r="K160" s="5" t="s">
        <v>434</v>
      </c>
      <c r="L160" s="3" t="s">
        <v>82</v>
      </c>
      <c r="M160" s="5" t="s">
        <v>420</v>
      </c>
      <c r="N160" s="3" t="s">
        <v>435</v>
      </c>
      <c r="O160" s="12">
        <v>45182</v>
      </c>
      <c r="P160" s="4">
        <f t="shared" si="2"/>
        <v>45912</v>
      </c>
      <c r="Q160" s="7" t="s">
        <v>40</v>
      </c>
      <c r="R160" s="6" t="str">
        <f>_xlfn.CONCAT(Q160,M160,C160)</f>
        <v>Novateur ElectricalJharkhandSumit Kumar Singh</v>
      </c>
    </row>
    <row r="161" spans="2:18">
      <c r="B161" s="1">
        <v>159</v>
      </c>
      <c r="C161" s="5" t="s">
        <v>416</v>
      </c>
      <c r="D161" s="1" t="s">
        <v>417</v>
      </c>
      <c r="E161" s="1" t="e">
        <v>#N/A</v>
      </c>
      <c r="F161" s="5" t="s">
        <v>28</v>
      </c>
      <c r="G161" s="1" t="s">
        <v>16</v>
      </c>
      <c r="H161" s="2">
        <v>6</v>
      </c>
      <c r="I161" s="1" t="s">
        <v>17</v>
      </c>
      <c r="J161" s="5" t="s">
        <v>436</v>
      </c>
      <c r="K161" s="5" t="s">
        <v>437</v>
      </c>
      <c r="L161" s="3" t="s">
        <v>82</v>
      </c>
      <c r="M161" s="5" t="s">
        <v>420</v>
      </c>
      <c r="N161" s="3" t="s">
        <v>438</v>
      </c>
      <c r="O161" s="12">
        <v>43369</v>
      </c>
      <c r="P161" s="4">
        <f t="shared" si="2"/>
        <v>44099</v>
      </c>
      <c r="Q161" s="7" t="s">
        <v>40</v>
      </c>
      <c r="R161" s="6" t="str">
        <f>_xlfn.CONCAT(Q161,M161,C161)</f>
        <v>Novateur ElectricalJharkhandSumit Kumar Singh</v>
      </c>
    </row>
    <row r="162" spans="2:18">
      <c r="B162" s="1">
        <v>160</v>
      </c>
      <c r="C162" s="5" t="s">
        <v>416</v>
      </c>
      <c r="D162" s="1" t="s">
        <v>417</v>
      </c>
      <c r="E162" s="1" t="e">
        <v>#N/A</v>
      </c>
      <c r="F162" s="5" t="s">
        <v>23</v>
      </c>
      <c r="G162" s="3" t="s">
        <v>24</v>
      </c>
      <c r="H162" s="2">
        <v>3</v>
      </c>
      <c r="I162" s="1" t="s">
        <v>17</v>
      </c>
      <c r="J162" s="5" t="s">
        <v>439</v>
      </c>
      <c r="K162" s="5" t="s">
        <v>440</v>
      </c>
      <c r="L162" s="3" t="s">
        <v>82</v>
      </c>
      <c r="M162" s="5" t="s">
        <v>420</v>
      </c>
      <c r="N162" s="3" t="s">
        <v>441</v>
      </c>
      <c r="O162" s="12">
        <v>45206</v>
      </c>
      <c r="P162" s="4">
        <f t="shared" si="2"/>
        <v>45936</v>
      </c>
      <c r="Q162" s="7" t="s">
        <v>45</v>
      </c>
      <c r="R162" s="6" t="str">
        <f>_xlfn.CONCAT(Q162,M162,C162)</f>
        <v>Best PowerJharkhandSumit Kumar Singh</v>
      </c>
    </row>
    <row r="163" spans="2:18">
      <c r="B163" s="1">
        <v>161</v>
      </c>
      <c r="C163" s="5" t="s">
        <v>416</v>
      </c>
      <c r="D163" s="1" t="s">
        <v>417</v>
      </c>
      <c r="E163" s="1" t="e">
        <v>#N/A</v>
      </c>
      <c r="F163" s="5" t="s">
        <v>20</v>
      </c>
      <c r="G163" s="8" t="s">
        <v>19</v>
      </c>
      <c r="H163" s="2">
        <v>6</v>
      </c>
      <c r="I163" s="1" t="s">
        <v>17</v>
      </c>
      <c r="J163" s="5" t="s">
        <v>442</v>
      </c>
      <c r="K163" s="5" t="s">
        <v>443</v>
      </c>
      <c r="L163" s="3" t="s">
        <v>82</v>
      </c>
      <c r="M163" s="5" t="s">
        <v>420</v>
      </c>
      <c r="N163" s="3" t="s">
        <v>444</v>
      </c>
      <c r="O163" s="12">
        <v>43811</v>
      </c>
      <c r="P163" s="4">
        <f t="shared" si="2"/>
        <v>44541</v>
      </c>
      <c r="Q163" s="7" t="s">
        <v>40</v>
      </c>
      <c r="R163" s="6" t="str">
        <f>_xlfn.CONCAT(Q163,M163,C163)</f>
        <v>Novateur ElectricalJharkhandSumit Kumar Singh</v>
      </c>
    </row>
    <row r="164" spans="2:18">
      <c r="B164" s="1">
        <v>162</v>
      </c>
      <c r="C164" s="5" t="s">
        <v>416</v>
      </c>
      <c r="D164" s="1" t="s">
        <v>417</v>
      </c>
      <c r="E164" s="1" t="e">
        <v>#N/A</v>
      </c>
      <c r="F164" s="5" t="s">
        <v>23</v>
      </c>
      <c r="G164" s="3" t="s">
        <v>24</v>
      </c>
      <c r="H164" s="2">
        <v>3</v>
      </c>
      <c r="I164" s="1" t="s">
        <v>17</v>
      </c>
      <c r="J164" s="5" t="s">
        <v>445</v>
      </c>
      <c r="K164" s="5" t="s">
        <v>446</v>
      </c>
      <c r="L164" s="3" t="s">
        <v>82</v>
      </c>
      <c r="M164" s="5" t="s">
        <v>420</v>
      </c>
      <c r="N164" s="3" t="s">
        <v>447</v>
      </c>
      <c r="O164" s="12">
        <v>45211</v>
      </c>
      <c r="P164" s="4">
        <f t="shared" si="2"/>
        <v>45941</v>
      </c>
      <c r="Q164" s="7" t="s">
        <v>45</v>
      </c>
      <c r="R164" s="6" t="str">
        <f>_xlfn.CONCAT(Q164,M164,C164)</f>
        <v>Best PowerJharkhandSumit Kumar Singh</v>
      </c>
    </row>
    <row r="165" spans="2:18">
      <c r="B165" s="1">
        <v>163</v>
      </c>
      <c r="C165" s="5" t="s">
        <v>416</v>
      </c>
      <c r="D165" s="1" t="s">
        <v>417</v>
      </c>
      <c r="E165" s="1" t="e">
        <v>#N/A</v>
      </c>
      <c r="F165" s="5" t="s">
        <v>22</v>
      </c>
      <c r="G165" s="1" t="s">
        <v>16</v>
      </c>
      <c r="H165" s="2">
        <v>6</v>
      </c>
      <c r="I165" s="1" t="s">
        <v>17</v>
      </c>
      <c r="J165" s="5" t="s">
        <v>448</v>
      </c>
      <c r="K165" s="5" t="s">
        <v>449</v>
      </c>
      <c r="L165" s="3" t="s">
        <v>82</v>
      </c>
      <c r="M165" s="5" t="s">
        <v>420</v>
      </c>
      <c r="N165" s="3" t="s">
        <v>450</v>
      </c>
      <c r="O165" s="12">
        <v>43731</v>
      </c>
      <c r="P165" s="4">
        <f t="shared" si="2"/>
        <v>44461</v>
      </c>
      <c r="Q165" s="7" t="s">
        <v>40</v>
      </c>
      <c r="R165" s="6" t="str">
        <f>_xlfn.CONCAT(Q165,M165,C165)</f>
        <v>Novateur ElectricalJharkhandSumit Kumar Singh</v>
      </c>
    </row>
    <row r="166" spans="2:18">
      <c r="B166" s="1">
        <v>164</v>
      </c>
      <c r="C166" s="5" t="s">
        <v>416</v>
      </c>
      <c r="D166" s="1" t="s">
        <v>417</v>
      </c>
      <c r="E166" s="1" t="e">
        <v>#N/A</v>
      </c>
      <c r="F166" s="5" t="s">
        <v>85</v>
      </c>
      <c r="G166" s="8" t="s">
        <v>19</v>
      </c>
      <c r="H166" s="2">
        <v>10</v>
      </c>
      <c r="I166" s="1" t="s">
        <v>17</v>
      </c>
      <c r="J166" s="5" t="s">
        <v>451</v>
      </c>
      <c r="K166" s="5" t="s">
        <v>452</v>
      </c>
      <c r="L166" s="3" t="s">
        <v>82</v>
      </c>
      <c r="M166" s="5" t="s">
        <v>420</v>
      </c>
      <c r="N166" s="3" t="s">
        <v>453</v>
      </c>
      <c r="O166" s="12">
        <v>43888</v>
      </c>
      <c r="P166" s="4">
        <f t="shared" si="2"/>
        <v>44618</v>
      </c>
      <c r="Q166" s="7" t="s">
        <v>40</v>
      </c>
      <c r="R166" s="6" t="str">
        <f>_xlfn.CONCAT(Q166,M166,C166)</f>
        <v>Novateur ElectricalJharkhandSumit Kumar Singh</v>
      </c>
    </row>
    <row r="167" spans="2:18">
      <c r="B167" s="1">
        <v>165</v>
      </c>
      <c r="C167" s="5" t="s">
        <v>416</v>
      </c>
      <c r="D167" s="1" t="s">
        <v>417</v>
      </c>
      <c r="E167" s="1" t="e">
        <v>#N/A</v>
      </c>
      <c r="F167" s="5" t="s">
        <v>79</v>
      </c>
      <c r="G167" s="1" t="s">
        <v>16</v>
      </c>
      <c r="H167" s="2">
        <v>10</v>
      </c>
      <c r="I167" s="1" t="s">
        <v>17</v>
      </c>
      <c r="J167" s="5" t="s">
        <v>454</v>
      </c>
      <c r="K167" s="5" t="s">
        <v>452</v>
      </c>
      <c r="L167" s="3" t="s">
        <v>82</v>
      </c>
      <c r="M167" s="5" t="s">
        <v>420</v>
      </c>
      <c r="N167" s="3" t="s">
        <v>453</v>
      </c>
      <c r="O167" s="12">
        <v>42185</v>
      </c>
      <c r="P167" s="4">
        <f t="shared" si="2"/>
        <v>42915</v>
      </c>
      <c r="Q167" s="7" t="s">
        <v>40</v>
      </c>
      <c r="R167" s="6" t="str">
        <f>_xlfn.CONCAT(Q167,M167,C167)</f>
        <v>Novateur ElectricalJharkhandSumit Kumar Singh</v>
      </c>
    </row>
    <row r="168" spans="2:18">
      <c r="B168" s="1">
        <v>166</v>
      </c>
      <c r="C168" s="5" t="s">
        <v>416</v>
      </c>
      <c r="D168" s="1" t="s">
        <v>417</v>
      </c>
      <c r="E168" s="1" t="e">
        <v>#N/A</v>
      </c>
      <c r="F168" s="5" t="s">
        <v>49</v>
      </c>
      <c r="G168" s="8" t="s">
        <v>19</v>
      </c>
      <c r="H168" s="2">
        <v>3</v>
      </c>
      <c r="I168" s="1" t="s">
        <v>17</v>
      </c>
      <c r="J168" s="5" t="s">
        <v>455</v>
      </c>
      <c r="K168" s="5" t="s">
        <v>456</v>
      </c>
      <c r="L168" s="3" t="s">
        <v>82</v>
      </c>
      <c r="M168" s="5" t="s">
        <v>420</v>
      </c>
      <c r="N168" s="3" t="s">
        <v>457</v>
      </c>
      <c r="O168" s="13">
        <v>44652</v>
      </c>
      <c r="P168" s="4">
        <f t="shared" si="2"/>
        <v>45382</v>
      </c>
      <c r="Q168" s="7" t="s">
        <v>40</v>
      </c>
      <c r="R168" s="6" t="str">
        <f>_xlfn.CONCAT(Q168,M168,C168)</f>
        <v>Novateur ElectricalJharkhandSumit Kumar Singh</v>
      </c>
    </row>
    <row r="169" spans="2:18">
      <c r="B169" s="1">
        <v>167</v>
      </c>
      <c r="C169" s="5" t="s">
        <v>416</v>
      </c>
      <c r="D169" s="1" t="s">
        <v>417</v>
      </c>
      <c r="E169" s="1" t="e">
        <v>#N/A</v>
      </c>
      <c r="F169" s="5" t="s">
        <v>38</v>
      </c>
      <c r="G169" s="1" t="s">
        <v>16</v>
      </c>
      <c r="H169" s="2">
        <v>3</v>
      </c>
      <c r="I169" s="1" t="s">
        <v>17</v>
      </c>
      <c r="J169" s="5" t="s">
        <v>458</v>
      </c>
      <c r="K169" s="5" t="s">
        <v>459</v>
      </c>
      <c r="L169" s="3" t="s">
        <v>82</v>
      </c>
      <c r="M169" s="5" t="s">
        <v>420</v>
      </c>
      <c r="N169" s="3" t="s">
        <v>460</v>
      </c>
      <c r="O169" s="12">
        <v>45182</v>
      </c>
      <c r="P169" s="4">
        <f t="shared" si="2"/>
        <v>45912</v>
      </c>
      <c r="Q169" s="7" t="s">
        <v>40</v>
      </c>
      <c r="R169" s="6" t="str">
        <f>_xlfn.CONCAT(Q169,M169,C169)</f>
        <v>Novateur ElectricalJharkhandSumit Kumar Singh</v>
      </c>
    </row>
    <row r="170" spans="2:18">
      <c r="B170" s="1">
        <v>168</v>
      </c>
      <c r="C170" s="5" t="s">
        <v>416</v>
      </c>
      <c r="D170" s="1" t="s">
        <v>417</v>
      </c>
      <c r="E170" s="1" t="e">
        <v>#N/A</v>
      </c>
      <c r="F170" s="5" t="s">
        <v>18</v>
      </c>
      <c r="G170" s="8" t="s">
        <v>19</v>
      </c>
      <c r="H170" s="2">
        <v>3</v>
      </c>
      <c r="I170" s="1" t="s">
        <v>17</v>
      </c>
      <c r="J170" s="5" t="s">
        <v>461</v>
      </c>
      <c r="K170" s="5" t="s">
        <v>462</v>
      </c>
      <c r="L170" s="3" t="s">
        <v>82</v>
      </c>
      <c r="M170" s="5" t="s">
        <v>420</v>
      </c>
      <c r="N170" s="3" t="s">
        <v>463</v>
      </c>
      <c r="O170" s="12">
        <v>43882</v>
      </c>
      <c r="P170" s="4">
        <f t="shared" si="2"/>
        <v>44612</v>
      </c>
      <c r="Q170" s="7" t="s">
        <v>40</v>
      </c>
      <c r="R170" s="6" t="str">
        <f>_xlfn.CONCAT(Q170,M170,C170)</f>
        <v>Novateur ElectricalJharkhandSumit Kumar Singh</v>
      </c>
    </row>
    <row r="171" spans="2:18">
      <c r="B171" s="1">
        <v>169</v>
      </c>
      <c r="C171" s="5" t="s">
        <v>416</v>
      </c>
      <c r="D171" s="1" t="s">
        <v>417</v>
      </c>
      <c r="E171" s="1" t="e">
        <v>#N/A</v>
      </c>
      <c r="F171" s="5" t="s">
        <v>23</v>
      </c>
      <c r="G171" s="3" t="s">
        <v>24</v>
      </c>
      <c r="H171" s="2">
        <v>3</v>
      </c>
      <c r="I171" s="1" t="s">
        <v>17</v>
      </c>
      <c r="J171" s="5" t="s">
        <v>464</v>
      </c>
      <c r="K171" s="5" t="s">
        <v>465</v>
      </c>
      <c r="L171" s="3" t="s">
        <v>82</v>
      </c>
      <c r="M171" s="5" t="s">
        <v>420</v>
      </c>
      <c r="N171" s="3" t="s">
        <v>466</v>
      </c>
      <c r="O171" s="12">
        <v>45206</v>
      </c>
      <c r="P171" s="4">
        <f t="shared" si="2"/>
        <v>45936</v>
      </c>
      <c r="Q171" s="7" t="s">
        <v>45</v>
      </c>
      <c r="R171" s="6" t="str">
        <f>_xlfn.CONCAT(Q171,M171,C171)</f>
        <v>Best PowerJharkhandSumit Kumar Singh</v>
      </c>
    </row>
    <row r="172" spans="2:18">
      <c r="B172" s="1">
        <v>170</v>
      </c>
      <c r="C172" s="5" t="s">
        <v>416</v>
      </c>
      <c r="D172" s="1" t="s">
        <v>417</v>
      </c>
      <c r="E172" s="1" t="e">
        <v>#N/A</v>
      </c>
      <c r="F172" s="5" t="s">
        <v>18</v>
      </c>
      <c r="G172" s="8" t="s">
        <v>19</v>
      </c>
      <c r="H172" s="2">
        <v>3</v>
      </c>
      <c r="I172" s="1" t="s">
        <v>17</v>
      </c>
      <c r="J172" s="5" t="s">
        <v>467</v>
      </c>
      <c r="K172" s="5" t="s">
        <v>468</v>
      </c>
      <c r="L172" s="3" t="s">
        <v>82</v>
      </c>
      <c r="M172" s="5" t="s">
        <v>420</v>
      </c>
      <c r="N172" s="3" t="s">
        <v>469</v>
      </c>
      <c r="O172" s="12">
        <v>43819</v>
      </c>
      <c r="P172" s="4">
        <f t="shared" si="2"/>
        <v>44549</v>
      </c>
      <c r="Q172" s="7" t="s">
        <v>40</v>
      </c>
      <c r="R172" s="6" t="str">
        <f>_xlfn.CONCAT(Q172,M172,C172)</f>
        <v>Novateur ElectricalJharkhandSumit Kumar Singh</v>
      </c>
    </row>
    <row r="173" spans="2:18">
      <c r="B173" s="1">
        <v>171</v>
      </c>
      <c r="C173" s="5" t="s">
        <v>416</v>
      </c>
      <c r="D173" s="1" t="s">
        <v>417</v>
      </c>
      <c r="E173" s="1" t="e">
        <v>#N/A</v>
      </c>
      <c r="F173" s="5" t="s">
        <v>18</v>
      </c>
      <c r="G173" s="8" t="s">
        <v>19</v>
      </c>
      <c r="H173" s="2">
        <v>3</v>
      </c>
      <c r="I173" s="1" t="s">
        <v>17</v>
      </c>
      <c r="J173" s="5" t="s">
        <v>470</v>
      </c>
      <c r="K173" s="5" t="s">
        <v>471</v>
      </c>
      <c r="L173" s="3" t="s">
        <v>82</v>
      </c>
      <c r="M173" s="5" t="s">
        <v>420</v>
      </c>
      <c r="N173" s="3" t="s">
        <v>472</v>
      </c>
      <c r="O173" s="12">
        <v>43881</v>
      </c>
      <c r="P173" s="4">
        <f t="shared" si="2"/>
        <v>44611</v>
      </c>
      <c r="Q173" s="7" t="s">
        <v>40</v>
      </c>
      <c r="R173" s="6" t="str">
        <f>_xlfn.CONCAT(Q173,M173,C173)</f>
        <v>Novateur ElectricalJharkhandSumit Kumar Singh</v>
      </c>
    </row>
    <row r="174" spans="2:18">
      <c r="B174" s="1">
        <v>172</v>
      </c>
      <c r="C174" s="5" t="s">
        <v>416</v>
      </c>
      <c r="D174" s="1" t="s">
        <v>417</v>
      </c>
      <c r="E174" s="1" t="e">
        <v>#N/A</v>
      </c>
      <c r="F174" s="5" t="s">
        <v>78</v>
      </c>
      <c r="G174" s="8" t="s">
        <v>19</v>
      </c>
      <c r="H174" s="2">
        <v>3</v>
      </c>
      <c r="I174" s="1" t="s">
        <v>17</v>
      </c>
      <c r="J174" s="5" t="s">
        <v>473</v>
      </c>
      <c r="K174" s="5" t="s">
        <v>474</v>
      </c>
      <c r="L174" s="3" t="s">
        <v>82</v>
      </c>
      <c r="M174" s="5" t="s">
        <v>420</v>
      </c>
      <c r="N174" s="3" t="s">
        <v>475</v>
      </c>
      <c r="O174" s="12">
        <v>42850</v>
      </c>
      <c r="P174" s="4">
        <f t="shared" si="2"/>
        <v>43580</v>
      </c>
      <c r="Q174" s="7" t="s">
        <v>40</v>
      </c>
      <c r="R174" s="6" t="str">
        <f>_xlfn.CONCAT(Q174,M174,C174)</f>
        <v>Novateur ElectricalJharkhandSumit Kumar Singh</v>
      </c>
    </row>
    <row r="175" spans="2:18">
      <c r="B175" s="1">
        <v>173</v>
      </c>
      <c r="C175" s="5" t="s">
        <v>416</v>
      </c>
      <c r="D175" s="1" t="s">
        <v>417</v>
      </c>
      <c r="E175" s="1" t="e">
        <v>#N/A</v>
      </c>
      <c r="F175" s="5" t="s">
        <v>58</v>
      </c>
      <c r="G175" s="1" t="s">
        <v>16</v>
      </c>
      <c r="H175" s="1">
        <v>20</v>
      </c>
      <c r="I175" s="1" t="s">
        <v>17</v>
      </c>
      <c r="J175" s="5" t="s">
        <v>476</v>
      </c>
      <c r="K175" s="5" t="s">
        <v>477</v>
      </c>
      <c r="L175" s="3" t="s">
        <v>82</v>
      </c>
      <c r="M175" s="5" t="s">
        <v>420</v>
      </c>
      <c r="N175" s="3" t="s">
        <v>478</v>
      </c>
      <c r="O175" s="12">
        <v>43369</v>
      </c>
      <c r="P175" s="4">
        <f t="shared" si="2"/>
        <v>44099</v>
      </c>
      <c r="Q175" s="7" t="s">
        <v>40</v>
      </c>
      <c r="R175" s="6" t="str">
        <f>_xlfn.CONCAT(Q175,M175,C175)</f>
        <v>Novateur ElectricalJharkhandSumit Kumar Singh</v>
      </c>
    </row>
    <row r="176" spans="2:18">
      <c r="B176" s="1">
        <v>174</v>
      </c>
      <c r="C176" s="5" t="s">
        <v>416</v>
      </c>
      <c r="D176" s="1" t="s">
        <v>417</v>
      </c>
      <c r="E176" s="1" t="e">
        <v>#N/A</v>
      </c>
      <c r="F176" s="5" t="s">
        <v>65</v>
      </c>
      <c r="G176" s="1" t="s">
        <v>16</v>
      </c>
      <c r="H176" s="2">
        <v>3</v>
      </c>
      <c r="I176" s="1" t="s">
        <v>17</v>
      </c>
      <c r="J176" s="5" t="s">
        <v>479</v>
      </c>
      <c r="K176" s="5" t="s">
        <v>480</v>
      </c>
      <c r="L176" s="3" t="s">
        <v>82</v>
      </c>
      <c r="M176" s="5" t="s">
        <v>420</v>
      </c>
      <c r="N176" s="3" t="s">
        <v>481</v>
      </c>
      <c r="O176" s="12">
        <v>45275</v>
      </c>
      <c r="P176" s="4">
        <f t="shared" si="2"/>
        <v>46005</v>
      </c>
      <c r="Q176" s="7" t="s">
        <v>40</v>
      </c>
      <c r="R176" s="6" t="str">
        <f>_xlfn.CONCAT(Q176,M176,C176)</f>
        <v>Novateur ElectricalJharkhandSumit Kumar Singh</v>
      </c>
    </row>
    <row r="177" spans="2:18">
      <c r="B177" s="1">
        <v>175</v>
      </c>
      <c r="C177" s="5" t="s">
        <v>416</v>
      </c>
      <c r="D177" s="1" t="s">
        <v>417</v>
      </c>
      <c r="E177" s="1" t="s">
        <v>482</v>
      </c>
      <c r="F177" s="5" t="s">
        <v>20</v>
      </c>
      <c r="G177" s="8" t="s">
        <v>19</v>
      </c>
      <c r="H177" s="2">
        <v>6</v>
      </c>
      <c r="I177" s="1" t="s">
        <v>17</v>
      </c>
      <c r="J177" s="5" t="s">
        <v>483</v>
      </c>
      <c r="K177" s="5" t="s">
        <v>484</v>
      </c>
      <c r="L177" s="3" t="s">
        <v>82</v>
      </c>
      <c r="M177" s="5" t="s">
        <v>420</v>
      </c>
      <c r="N177" s="3" t="s">
        <v>485</v>
      </c>
      <c r="O177" s="12">
        <v>43806</v>
      </c>
      <c r="P177" s="4">
        <f t="shared" si="2"/>
        <v>44536</v>
      </c>
      <c r="Q177" s="7" t="s">
        <v>40</v>
      </c>
      <c r="R177" s="6" t="str">
        <f>_xlfn.CONCAT(Q177,M177,C177)</f>
        <v>Novateur ElectricalJharkhandSumit Kumar Singh</v>
      </c>
    </row>
    <row r="178" spans="2:18">
      <c r="B178" s="1">
        <v>176</v>
      </c>
      <c r="C178" s="5" t="s">
        <v>416</v>
      </c>
      <c r="D178" s="1" t="s">
        <v>417</v>
      </c>
      <c r="E178" s="1" t="s">
        <v>482</v>
      </c>
      <c r="F178" s="5" t="s">
        <v>23</v>
      </c>
      <c r="G178" s="3" t="s">
        <v>24</v>
      </c>
      <c r="H178" s="2">
        <v>3</v>
      </c>
      <c r="I178" s="1" t="s">
        <v>17</v>
      </c>
      <c r="J178" s="5" t="s">
        <v>486</v>
      </c>
      <c r="K178" s="5" t="s">
        <v>487</v>
      </c>
      <c r="L178" s="3" t="s">
        <v>82</v>
      </c>
      <c r="M178" s="5" t="s">
        <v>420</v>
      </c>
      <c r="N178" s="3" t="s">
        <v>488</v>
      </c>
      <c r="O178" s="12">
        <v>45206</v>
      </c>
      <c r="P178" s="4">
        <f t="shared" si="2"/>
        <v>45936</v>
      </c>
      <c r="Q178" s="7" t="s">
        <v>45</v>
      </c>
      <c r="R178" s="6" t="str">
        <f>_xlfn.CONCAT(Q178,M178,C178)</f>
        <v>Best PowerJharkhandSumit Kumar Singh</v>
      </c>
    </row>
    <row r="179" spans="2:18">
      <c r="B179" s="1">
        <v>177</v>
      </c>
      <c r="C179" s="5" t="s">
        <v>416</v>
      </c>
      <c r="D179" s="1" t="s">
        <v>417</v>
      </c>
      <c r="E179" s="1" t="s">
        <v>482</v>
      </c>
      <c r="F179" s="5" t="s">
        <v>22</v>
      </c>
      <c r="G179" s="1" t="s">
        <v>16</v>
      </c>
      <c r="H179" s="2">
        <v>6</v>
      </c>
      <c r="I179" s="1" t="s">
        <v>17</v>
      </c>
      <c r="J179" s="5" t="s">
        <v>489</v>
      </c>
      <c r="K179" s="5" t="s">
        <v>490</v>
      </c>
      <c r="L179" s="3" t="s">
        <v>82</v>
      </c>
      <c r="M179" s="5" t="s">
        <v>420</v>
      </c>
      <c r="N179" s="3" t="s">
        <v>491</v>
      </c>
      <c r="O179" s="12">
        <v>43731</v>
      </c>
      <c r="P179" s="4">
        <f t="shared" si="2"/>
        <v>44461</v>
      </c>
      <c r="Q179" s="7" t="s">
        <v>40</v>
      </c>
      <c r="R179" s="6" t="str">
        <f>_xlfn.CONCAT(Q179,M179,C179)</f>
        <v>Novateur ElectricalJharkhandSumit Kumar Singh</v>
      </c>
    </row>
    <row r="180" spans="2:18">
      <c r="B180" s="1">
        <v>178</v>
      </c>
      <c r="C180" s="5" t="s">
        <v>416</v>
      </c>
      <c r="D180" s="1" t="s">
        <v>417</v>
      </c>
      <c r="E180" s="1" t="s">
        <v>482</v>
      </c>
      <c r="F180" s="5" t="s">
        <v>35</v>
      </c>
      <c r="G180" s="1" t="s">
        <v>16</v>
      </c>
      <c r="H180" s="2">
        <v>6</v>
      </c>
      <c r="I180" s="1" t="s">
        <v>17</v>
      </c>
      <c r="J180" s="5" t="s">
        <v>492</v>
      </c>
      <c r="K180" s="5" t="s">
        <v>493</v>
      </c>
      <c r="L180" s="3" t="s">
        <v>82</v>
      </c>
      <c r="M180" s="5" t="s">
        <v>420</v>
      </c>
      <c r="N180" s="3" t="s">
        <v>494</v>
      </c>
      <c r="O180" s="12">
        <v>42243</v>
      </c>
      <c r="P180" s="4">
        <f t="shared" si="2"/>
        <v>42973</v>
      </c>
      <c r="Q180" s="7" t="s">
        <v>40</v>
      </c>
      <c r="R180" s="6" t="str">
        <f>_xlfn.CONCAT(Q180,M180,C180)</f>
        <v>Novateur ElectricalJharkhandSumit Kumar Singh</v>
      </c>
    </row>
    <row r="181" spans="2:18">
      <c r="B181" s="1">
        <v>179</v>
      </c>
      <c r="C181" s="5" t="s">
        <v>416</v>
      </c>
      <c r="D181" s="1" t="s">
        <v>417</v>
      </c>
      <c r="E181" s="1" t="s">
        <v>482</v>
      </c>
      <c r="F181" s="5" t="s">
        <v>23</v>
      </c>
      <c r="G181" s="3" t="s">
        <v>24</v>
      </c>
      <c r="H181" s="2">
        <v>3</v>
      </c>
      <c r="I181" s="1" t="s">
        <v>17</v>
      </c>
      <c r="J181" s="17" t="s">
        <v>495</v>
      </c>
      <c r="K181" s="5" t="s">
        <v>496</v>
      </c>
      <c r="L181" s="3" t="s">
        <v>82</v>
      </c>
      <c r="M181" s="5" t="s">
        <v>420</v>
      </c>
      <c r="N181" s="3" t="s">
        <v>497</v>
      </c>
      <c r="O181" s="12">
        <v>45206</v>
      </c>
      <c r="P181" s="4">
        <f t="shared" si="2"/>
        <v>45936</v>
      </c>
      <c r="Q181" s="7" t="s">
        <v>45</v>
      </c>
      <c r="R181" s="6" t="str">
        <f>_xlfn.CONCAT(Q181,M181,C181)</f>
        <v>Best PowerJharkhandSumit Kumar Singh</v>
      </c>
    </row>
    <row r="182" spans="2:18">
      <c r="B182" s="1">
        <v>180</v>
      </c>
      <c r="C182" s="5" t="s">
        <v>416</v>
      </c>
      <c r="D182" s="1" t="s">
        <v>417</v>
      </c>
      <c r="E182" s="1" t="s">
        <v>482</v>
      </c>
      <c r="F182" s="5" t="s">
        <v>54</v>
      </c>
      <c r="G182" s="8" t="s">
        <v>19</v>
      </c>
      <c r="H182" s="5">
        <v>2</v>
      </c>
      <c r="I182" s="1" t="s">
        <v>17</v>
      </c>
      <c r="J182" s="5" t="s">
        <v>498</v>
      </c>
      <c r="K182" s="5" t="s">
        <v>499</v>
      </c>
      <c r="L182" s="3" t="s">
        <v>82</v>
      </c>
      <c r="M182" s="5" t="s">
        <v>420</v>
      </c>
      <c r="N182" s="3" t="s">
        <v>500</v>
      </c>
      <c r="O182" s="12">
        <v>43555</v>
      </c>
      <c r="P182" s="4">
        <f t="shared" ref="P182:P196" si="3">O182+365*2</f>
        <v>44285</v>
      </c>
      <c r="Q182" s="7" t="s">
        <v>40</v>
      </c>
      <c r="R182" s="6" t="str">
        <f>_xlfn.CONCAT(Q182,M182,C182)</f>
        <v>Novateur ElectricalJharkhandSumit Kumar Singh</v>
      </c>
    </row>
    <row r="183" spans="2:18">
      <c r="B183" s="1">
        <v>181</v>
      </c>
      <c r="C183" s="5" t="s">
        <v>416</v>
      </c>
      <c r="D183" s="1" t="s">
        <v>417</v>
      </c>
      <c r="E183" s="1" t="s">
        <v>482</v>
      </c>
      <c r="F183" s="5" t="s">
        <v>23</v>
      </c>
      <c r="G183" s="3" t="s">
        <v>24</v>
      </c>
      <c r="H183" s="2">
        <v>3</v>
      </c>
      <c r="I183" s="1" t="s">
        <v>17</v>
      </c>
      <c r="J183" s="5" t="s">
        <v>501</v>
      </c>
      <c r="K183" s="5" t="s">
        <v>502</v>
      </c>
      <c r="L183" s="3" t="s">
        <v>82</v>
      </c>
      <c r="M183" s="5" t="s">
        <v>420</v>
      </c>
      <c r="N183" s="3" t="s">
        <v>503</v>
      </c>
      <c r="O183" s="12">
        <v>45211</v>
      </c>
      <c r="P183" s="4">
        <f t="shared" si="3"/>
        <v>45941</v>
      </c>
      <c r="Q183" s="7" t="s">
        <v>45</v>
      </c>
      <c r="R183" s="6" t="str">
        <f>_xlfn.CONCAT(Q183,M183,C183)</f>
        <v>Best PowerJharkhandSumit Kumar Singh</v>
      </c>
    </row>
    <row r="184" spans="2:18">
      <c r="B184" s="1">
        <v>182</v>
      </c>
      <c r="C184" s="5" t="s">
        <v>416</v>
      </c>
      <c r="D184" s="1" t="s">
        <v>417</v>
      </c>
      <c r="E184" s="1" t="s">
        <v>482</v>
      </c>
      <c r="F184" s="5" t="s">
        <v>20</v>
      </c>
      <c r="G184" s="8" t="s">
        <v>19</v>
      </c>
      <c r="H184" s="2">
        <v>6</v>
      </c>
      <c r="I184" s="1" t="s">
        <v>17</v>
      </c>
      <c r="J184" s="5" t="s">
        <v>504</v>
      </c>
      <c r="K184" s="5" t="s">
        <v>505</v>
      </c>
      <c r="L184" s="3" t="s">
        <v>82</v>
      </c>
      <c r="M184" s="5" t="s">
        <v>420</v>
      </c>
      <c r="N184" s="3" t="s">
        <v>506</v>
      </c>
      <c r="O184" s="12">
        <v>43806</v>
      </c>
      <c r="P184" s="4">
        <f t="shared" si="3"/>
        <v>44536</v>
      </c>
      <c r="Q184" s="7" t="s">
        <v>40</v>
      </c>
      <c r="R184" s="6" t="str">
        <f>_xlfn.CONCAT(Q184,M184,C184)</f>
        <v>Novateur ElectricalJharkhandSumit Kumar Singh</v>
      </c>
    </row>
    <row r="185" spans="2:18">
      <c r="B185" s="1">
        <v>183</v>
      </c>
      <c r="C185" s="5" t="s">
        <v>416</v>
      </c>
      <c r="D185" s="1" t="s">
        <v>417</v>
      </c>
      <c r="E185" s="1" t="s">
        <v>482</v>
      </c>
      <c r="F185" s="5" t="s">
        <v>22</v>
      </c>
      <c r="G185" s="1" t="s">
        <v>16</v>
      </c>
      <c r="H185" s="2">
        <v>6</v>
      </c>
      <c r="I185" s="1" t="s">
        <v>17</v>
      </c>
      <c r="J185" s="5" t="s">
        <v>507</v>
      </c>
      <c r="K185" s="5" t="s">
        <v>508</v>
      </c>
      <c r="L185" s="3" t="s">
        <v>82</v>
      </c>
      <c r="M185" s="5" t="s">
        <v>420</v>
      </c>
      <c r="N185" s="3" t="s">
        <v>509</v>
      </c>
      <c r="O185" s="12">
        <v>43423</v>
      </c>
      <c r="P185" s="4">
        <f t="shared" si="3"/>
        <v>44153</v>
      </c>
      <c r="Q185" s="7" t="s">
        <v>40</v>
      </c>
      <c r="R185" s="6" t="str">
        <f>_xlfn.CONCAT(Q185,M185,C185)</f>
        <v>Novateur ElectricalJharkhandSumit Kumar Singh</v>
      </c>
    </row>
    <row r="186" spans="2:18">
      <c r="B186" s="1">
        <v>184</v>
      </c>
      <c r="C186" s="5" t="s">
        <v>416</v>
      </c>
      <c r="D186" s="1" t="s">
        <v>417</v>
      </c>
      <c r="E186" s="1" t="s">
        <v>482</v>
      </c>
      <c r="F186" s="5" t="s">
        <v>22</v>
      </c>
      <c r="G186" s="1" t="s">
        <v>16</v>
      </c>
      <c r="H186" s="2">
        <v>6</v>
      </c>
      <c r="I186" s="1" t="s">
        <v>17</v>
      </c>
      <c r="J186" s="5" t="s">
        <v>510</v>
      </c>
      <c r="K186" s="5" t="s">
        <v>511</v>
      </c>
      <c r="L186" s="3" t="s">
        <v>82</v>
      </c>
      <c r="M186" s="5" t="s">
        <v>420</v>
      </c>
      <c r="N186" s="3" t="s">
        <v>512</v>
      </c>
      <c r="O186" s="12">
        <v>43731</v>
      </c>
      <c r="P186" s="4">
        <f t="shared" si="3"/>
        <v>44461</v>
      </c>
      <c r="Q186" s="7" t="s">
        <v>40</v>
      </c>
      <c r="R186" s="6" t="str">
        <f>_xlfn.CONCAT(Q186,M186,C186)</f>
        <v>Novateur ElectricalJharkhandSumit Kumar Singh</v>
      </c>
    </row>
    <row r="187" spans="2:18">
      <c r="B187" s="1">
        <v>185</v>
      </c>
      <c r="C187" s="5" t="s">
        <v>416</v>
      </c>
      <c r="D187" s="1" t="s">
        <v>417</v>
      </c>
      <c r="E187" s="1" t="s">
        <v>482</v>
      </c>
      <c r="F187" s="5" t="s">
        <v>513</v>
      </c>
      <c r="G187" s="8" t="s">
        <v>19</v>
      </c>
      <c r="H187" s="2">
        <v>3</v>
      </c>
      <c r="I187" s="1" t="s">
        <v>17</v>
      </c>
      <c r="J187" s="5" t="s">
        <v>514</v>
      </c>
      <c r="K187" s="5" t="s">
        <v>515</v>
      </c>
      <c r="L187" s="3" t="s">
        <v>82</v>
      </c>
      <c r="M187" s="5" t="s">
        <v>420</v>
      </c>
      <c r="N187" s="3" t="s">
        <v>516</v>
      </c>
      <c r="O187" s="12">
        <v>44708</v>
      </c>
      <c r="P187" s="4">
        <f t="shared" si="3"/>
        <v>45438</v>
      </c>
      <c r="Q187" s="7" t="s">
        <v>40</v>
      </c>
      <c r="R187" s="6" t="str">
        <f>_xlfn.CONCAT(Q187,M187,C187)</f>
        <v>Novateur ElectricalJharkhandSumit Kumar Singh</v>
      </c>
    </row>
    <row r="188" spans="2:18">
      <c r="B188" s="1">
        <v>186</v>
      </c>
      <c r="C188" s="5" t="s">
        <v>416</v>
      </c>
      <c r="D188" s="1" t="s">
        <v>417</v>
      </c>
      <c r="E188" s="1" t="s">
        <v>482</v>
      </c>
      <c r="F188" s="5" t="s">
        <v>35</v>
      </c>
      <c r="G188" s="1" t="s">
        <v>16</v>
      </c>
      <c r="H188" s="2">
        <v>6</v>
      </c>
      <c r="I188" s="1" t="s">
        <v>17</v>
      </c>
      <c r="J188" s="5" t="s">
        <v>517</v>
      </c>
      <c r="K188" s="5" t="s">
        <v>518</v>
      </c>
      <c r="L188" s="3" t="s">
        <v>82</v>
      </c>
      <c r="M188" s="5" t="s">
        <v>420</v>
      </c>
      <c r="N188" s="3" t="s">
        <v>519</v>
      </c>
      <c r="O188" s="12">
        <v>42243</v>
      </c>
      <c r="P188" s="4">
        <f t="shared" si="3"/>
        <v>42973</v>
      </c>
      <c r="Q188" s="7" t="s">
        <v>40</v>
      </c>
      <c r="R188" s="6" t="str">
        <f>_xlfn.CONCAT(Q188,M188,C188)</f>
        <v>Novateur ElectricalJharkhandSumit Kumar Singh</v>
      </c>
    </row>
    <row r="189" spans="2:18">
      <c r="B189" s="1">
        <v>187</v>
      </c>
      <c r="C189" s="5" t="s">
        <v>416</v>
      </c>
      <c r="D189" s="1" t="s">
        <v>417</v>
      </c>
      <c r="E189" s="1" t="s">
        <v>482</v>
      </c>
      <c r="F189" s="5" t="s">
        <v>18</v>
      </c>
      <c r="G189" s="8" t="s">
        <v>19</v>
      </c>
      <c r="H189" s="2">
        <v>3</v>
      </c>
      <c r="I189" s="1" t="s">
        <v>17</v>
      </c>
      <c r="J189" s="5" t="s">
        <v>520</v>
      </c>
      <c r="K189" s="5" t="s">
        <v>521</v>
      </c>
      <c r="L189" s="3" t="s">
        <v>82</v>
      </c>
      <c r="M189" s="5" t="s">
        <v>420</v>
      </c>
      <c r="N189" s="3" t="s">
        <v>522</v>
      </c>
      <c r="O189" s="12">
        <v>43908</v>
      </c>
      <c r="P189" s="4">
        <f t="shared" si="3"/>
        <v>44638</v>
      </c>
      <c r="Q189" s="7" t="s">
        <v>40</v>
      </c>
      <c r="R189" s="6" t="str">
        <f>_xlfn.CONCAT(Q189,M189,C189)</f>
        <v>Novateur ElectricalJharkhandSumit Kumar Singh</v>
      </c>
    </row>
    <row r="190" spans="2:18">
      <c r="B190" s="1">
        <v>188</v>
      </c>
      <c r="C190" s="5" t="s">
        <v>416</v>
      </c>
      <c r="D190" s="1" t="s">
        <v>417</v>
      </c>
      <c r="E190" s="1" t="s">
        <v>482</v>
      </c>
      <c r="F190" s="5" t="s">
        <v>18</v>
      </c>
      <c r="G190" s="8" t="s">
        <v>19</v>
      </c>
      <c r="H190" s="2">
        <v>3</v>
      </c>
      <c r="I190" s="1" t="s">
        <v>17</v>
      </c>
      <c r="J190" s="5" t="s">
        <v>523</v>
      </c>
      <c r="K190" s="5" t="s">
        <v>524</v>
      </c>
      <c r="L190" s="3" t="s">
        <v>82</v>
      </c>
      <c r="M190" s="5" t="s">
        <v>420</v>
      </c>
      <c r="N190" s="3" t="s">
        <v>525</v>
      </c>
      <c r="O190" s="12">
        <v>43882</v>
      </c>
      <c r="P190" s="4">
        <f t="shared" si="3"/>
        <v>44612</v>
      </c>
      <c r="Q190" s="7" t="s">
        <v>40</v>
      </c>
      <c r="R190" s="6" t="str">
        <f>_xlfn.CONCAT(Q190,M190,C190)</f>
        <v>Novateur ElectricalJharkhandSumit Kumar Singh</v>
      </c>
    </row>
    <row r="191" spans="2:18">
      <c r="B191" s="1">
        <v>189</v>
      </c>
      <c r="C191" s="5" t="s">
        <v>416</v>
      </c>
      <c r="D191" s="1" t="s">
        <v>417</v>
      </c>
      <c r="E191" s="1" t="s">
        <v>482</v>
      </c>
      <c r="F191" s="5" t="s">
        <v>78</v>
      </c>
      <c r="G191" s="8" t="s">
        <v>19</v>
      </c>
      <c r="H191" s="2">
        <v>3</v>
      </c>
      <c r="I191" s="1" t="s">
        <v>17</v>
      </c>
      <c r="J191" s="5" t="s">
        <v>526</v>
      </c>
      <c r="K191" s="5" t="s">
        <v>527</v>
      </c>
      <c r="L191" s="3" t="s">
        <v>82</v>
      </c>
      <c r="M191" s="5" t="s">
        <v>420</v>
      </c>
      <c r="N191" s="3" t="s">
        <v>528</v>
      </c>
      <c r="O191" s="12">
        <v>42844</v>
      </c>
      <c r="P191" s="4">
        <f t="shared" si="3"/>
        <v>43574</v>
      </c>
      <c r="Q191" s="7" t="s">
        <v>40</v>
      </c>
      <c r="R191" s="6" t="str">
        <f>_xlfn.CONCAT(Q191,M191,C191)</f>
        <v>Novateur ElectricalJharkhandSumit Kumar Singh</v>
      </c>
    </row>
    <row r="192" spans="2:18">
      <c r="B192" s="1">
        <v>190</v>
      </c>
      <c r="C192" s="5" t="s">
        <v>416</v>
      </c>
      <c r="D192" s="1" t="s">
        <v>417</v>
      </c>
      <c r="E192" s="1" t="s">
        <v>482</v>
      </c>
      <c r="F192" s="5" t="s">
        <v>22</v>
      </c>
      <c r="G192" s="1" t="s">
        <v>16</v>
      </c>
      <c r="H192" s="2">
        <v>6</v>
      </c>
      <c r="I192" s="1" t="s">
        <v>17</v>
      </c>
      <c r="J192" s="5" t="s">
        <v>529</v>
      </c>
      <c r="K192" s="5" t="s">
        <v>530</v>
      </c>
      <c r="L192" s="3" t="s">
        <v>82</v>
      </c>
      <c r="M192" s="5" t="s">
        <v>420</v>
      </c>
      <c r="N192" s="3" t="s">
        <v>531</v>
      </c>
      <c r="O192" s="12">
        <v>43731</v>
      </c>
      <c r="P192" s="4">
        <f t="shared" si="3"/>
        <v>44461</v>
      </c>
      <c r="Q192" s="7" t="s">
        <v>40</v>
      </c>
      <c r="R192" s="6" t="str">
        <f>_xlfn.CONCAT(Q192,M192,C192)</f>
        <v>Novateur ElectricalJharkhandSumit Kumar Singh</v>
      </c>
    </row>
    <row r="193" spans="2:18">
      <c r="B193" s="1">
        <v>191</v>
      </c>
      <c r="C193" s="5" t="s">
        <v>416</v>
      </c>
      <c r="D193" s="1" t="s">
        <v>417</v>
      </c>
      <c r="E193" s="1" t="s">
        <v>482</v>
      </c>
      <c r="F193" s="5" t="s">
        <v>20</v>
      </c>
      <c r="G193" s="8" t="s">
        <v>19</v>
      </c>
      <c r="H193" s="2">
        <v>6</v>
      </c>
      <c r="I193" s="1" t="s">
        <v>17</v>
      </c>
      <c r="J193" s="5" t="s">
        <v>532</v>
      </c>
      <c r="K193" s="5" t="s">
        <v>533</v>
      </c>
      <c r="L193" s="3" t="s">
        <v>82</v>
      </c>
      <c r="M193" s="5" t="s">
        <v>420</v>
      </c>
      <c r="N193" s="3" t="s">
        <v>534</v>
      </c>
      <c r="O193" s="12">
        <v>43811</v>
      </c>
      <c r="P193" s="4">
        <f t="shared" si="3"/>
        <v>44541</v>
      </c>
      <c r="Q193" s="7" t="s">
        <v>40</v>
      </c>
      <c r="R193" s="6" t="str">
        <f>_xlfn.CONCAT(Q193,M193,C193)</f>
        <v>Novateur ElectricalJharkhandSumit Kumar Singh</v>
      </c>
    </row>
    <row r="194" spans="2:18">
      <c r="B194" s="1">
        <v>192</v>
      </c>
      <c r="C194" s="5" t="s">
        <v>416</v>
      </c>
      <c r="D194" s="1" t="s">
        <v>417</v>
      </c>
      <c r="E194" s="1" t="s">
        <v>482</v>
      </c>
      <c r="F194" s="5" t="s">
        <v>18</v>
      </c>
      <c r="G194" s="8" t="s">
        <v>19</v>
      </c>
      <c r="H194" s="2">
        <v>3</v>
      </c>
      <c r="I194" s="1" t="s">
        <v>17</v>
      </c>
      <c r="J194" s="5" t="s">
        <v>535</v>
      </c>
      <c r="K194" s="5" t="s">
        <v>536</v>
      </c>
      <c r="L194" s="3" t="s">
        <v>82</v>
      </c>
      <c r="M194" s="5" t="s">
        <v>420</v>
      </c>
      <c r="N194" s="3" t="s">
        <v>537</v>
      </c>
      <c r="O194" s="12">
        <v>43881</v>
      </c>
      <c r="P194" s="4">
        <f t="shared" si="3"/>
        <v>44611</v>
      </c>
      <c r="Q194" s="7" t="s">
        <v>40</v>
      </c>
      <c r="R194" s="6" t="str">
        <f>_xlfn.CONCAT(Q194,M194,C194)</f>
        <v>Novateur ElectricalJharkhandSumit Kumar Singh</v>
      </c>
    </row>
    <row r="195" spans="2:18">
      <c r="B195" s="1">
        <v>193</v>
      </c>
      <c r="C195" s="5" t="s">
        <v>416</v>
      </c>
      <c r="D195" s="1" t="s">
        <v>417</v>
      </c>
      <c r="E195" s="1" t="s">
        <v>482</v>
      </c>
      <c r="F195" s="5" t="s">
        <v>20</v>
      </c>
      <c r="G195" s="8" t="s">
        <v>19</v>
      </c>
      <c r="H195" s="2">
        <v>6</v>
      </c>
      <c r="I195" s="1" t="s">
        <v>17</v>
      </c>
      <c r="J195" s="5" t="s">
        <v>538</v>
      </c>
      <c r="K195" s="5" t="s">
        <v>75</v>
      </c>
      <c r="L195" s="3" t="s">
        <v>82</v>
      </c>
      <c r="M195" s="5" t="s">
        <v>420</v>
      </c>
      <c r="N195" s="3" t="s">
        <v>76</v>
      </c>
      <c r="O195" s="12">
        <v>43753</v>
      </c>
      <c r="P195" s="4">
        <f t="shared" si="3"/>
        <v>44483</v>
      </c>
      <c r="Q195" s="7" t="s">
        <v>40</v>
      </c>
      <c r="R195" s="6" t="str">
        <f>_xlfn.CONCAT(Q195,M195,C195)</f>
        <v>Novateur ElectricalJharkhandSumit Kumar Singh</v>
      </c>
    </row>
    <row r="196" spans="2:18">
      <c r="B196" s="1">
        <v>194</v>
      </c>
      <c r="C196" s="5" t="s">
        <v>416</v>
      </c>
      <c r="D196" s="1" t="s">
        <v>417</v>
      </c>
      <c r="E196" s="1" t="s">
        <v>482</v>
      </c>
      <c r="F196" s="5" t="s">
        <v>22</v>
      </c>
      <c r="G196" s="1" t="s">
        <v>16</v>
      </c>
      <c r="H196" s="2">
        <v>6</v>
      </c>
      <c r="I196" s="1" t="s">
        <v>17</v>
      </c>
      <c r="J196" s="5" t="s">
        <v>539</v>
      </c>
      <c r="K196" s="5" t="s">
        <v>540</v>
      </c>
      <c r="L196" s="3" t="s">
        <v>82</v>
      </c>
      <c r="M196" s="5" t="s">
        <v>420</v>
      </c>
      <c r="N196" s="3" t="s">
        <v>541</v>
      </c>
      <c r="O196" s="12">
        <v>43731</v>
      </c>
      <c r="P196" s="4">
        <f t="shared" si="3"/>
        <v>44461</v>
      </c>
      <c r="Q196" s="7" t="s">
        <v>40</v>
      </c>
      <c r="R196" s="6" t="str">
        <f>_xlfn.CONCAT(Q196,M196,C196)</f>
        <v>Novateur ElectricalJharkhandSumit Kumar Singh</v>
      </c>
    </row>
  </sheetData>
  <autoFilter ref="B2:AL2" xr:uid="{33CFC885-D295-40ED-B92B-9AA45A554691}"/>
  <conditionalFormatting sqref="D2:E2">
    <cfRule type="duplicateValues" dxfId="4" priority="1"/>
  </conditionalFormatting>
  <conditionalFormatting sqref="K104">
    <cfRule type="duplicateValues" dxfId="3" priority="13"/>
  </conditionalFormatting>
  <conditionalFormatting sqref="K94:K102">
    <cfRule type="duplicateValues" dxfId="2" priority="22"/>
  </conditionalFormatting>
  <conditionalFormatting sqref="K2:K196">
    <cfRule type="duplicateValues" dxfId="1" priority="34"/>
  </conditionalFormatting>
  <conditionalFormatting sqref="B2:C2 F2:P2">
    <cfRule type="duplicateValues" dxfId="0" priority="3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UPS AMC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GAIKWAD</dc:creator>
  <cp:lastModifiedBy>TSK771</cp:lastModifiedBy>
  <dcterms:created xsi:type="dcterms:W3CDTF">2026-05-11T10:57:13Z</dcterms:created>
  <dcterms:modified xsi:type="dcterms:W3CDTF">2026-06-01T06:06:46Z</dcterms:modified>
</cp:coreProperties>
</file>